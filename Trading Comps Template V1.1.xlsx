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drawings/drawing2.xml" ContentType="application/vnd.openxmlformats-officedocument.drawing+xml"/>
  <Override PartName="/xl/ctrlProps/ctrlProp2.xml" ContentType="application/vnd.ms-excel.controlproperties+xml"/>
  <Override PartName="/xl/comments1.xml" ContentType="application/vnd.openxmlformats-officedocument.spreadsheetml.comments+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drawings/drawing3.xml" ContentType="application/vnd.openxmlformats-officedocument.drawing+xml"/>
  <Override PartName="/xl/ctrlProps/ctrlProp3.xml" ContentType="application/vnd.ms-excel.controlproperties+xml"/>
  <Override PartName="/xl/comments2.xml" ContentType="application/vnd.openxmlformats-officedocument.spreadsheetml.comments+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drawings/drawing4.xml" ContentType="application/vnd.openxmlformats-officedocument.drawing+xml"/>
  <Override PartName="/xl/ctrlProps/ctrlProp4.xml" ContentType="application/vnd.ms-excel.controlproperties+xml"/>
  <Override PartName="/xl/comments3.xml" ContentType="application/vnd.openxmlformats-officedocument.spreadsheetml.comments+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drawings/drawing5.xml" ContentType="application/vnd.openxmlformats-officedocument.drawing+xml"/>
  <Override PartName="/xl/ctrlProps/ctrlProp5.xml" ContentType="application/vnd.ms-excel.controlproperties+xml"/>
  <Override PartName="/xl/comments4.xml" ContentType="application/vnd.openxmlformats-officedocument.spreadsheetml.comments+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drawings/drawing6.xml" ContentType="application/vnd.openxmlformats-officedocument.drawing+xml"/>
  <Override PartName="/xl/ink/ink85.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FM &amp; V\Valuation\Day 16 &amp; 17\"/>
    </mc:Choice>
  </mc:AlternateContent>
  <bookViews>
    <workbookView xWindow="0" yWindow="0" windowWidth="23040" windowHeight="8784"/>
  </bookViews>
  <sheets>
    <sheet name="Valuation" sheetId="2" r:id="rId1"/>
    <sheet name="Output" sheetId="3" r:id="rId2"/>
    <sheet name="Input" sheetId="15" r:id="rId3"/>
    <sheet name="ABBIndia" sheetId="17" r:id="rId4"/>
    <sheet name="Siemens" sheetId="18" r:id="rId5"/>
    <sheet name="CGPower" sheetId="19" r:id="rId6"/>
    <sheet name="BHEL" sheetId="20" r:id="rId7"/>
    <sheet name="Sheet1" sheetId="21" r:id="rId8"/>
    <sheet name="Source of Info" sheetId="14" r:id="rId9"/>
    <sheet name="List of Peers" sheetId="16" r:id="rId10"/>
  </sheets>
  <definedNames>
    <definedName name="ml">ABBIndia!$J$6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8" i="2" l="1"/>
  <c r="L8" i="2"/>
  <c r="K8" i="2"/>
  <c r="J8" i="2"/>
  <c r="I8" i="2"/>
  <c r="H8" i="2"/>
  <c r="B8" i="2"/>
  <c r="B7" i="2"/>
  <c r="O7" i="2"/>
  <c r="H7" i="2"/>
  <c r="L7" i="2"/>
  <c r="K7" i="2"/>
  <c r="J7" i="2"/>
  <c r="I7" i="2"/>
  <c r="P16" i="3"/>
  <c r="K16" i="3"/>
  <c r="I64" i="19"/>
  <c r="F33" i="19"/>
  <c r="F33" i="17"/>
  <c r="H79" i="20"/>
  <c r="H75" i="20"/>
  <c r="H74" i="20"/>
  <c r="H73" i="20"/>
  <c r="H70" i="20"/>
  <c r="H67" i="20"/>
  <c r="H69" i="20" s="1"/>
  <c r="H71" i="20" s="1"/>
  <c r="H65" i="20"/>
  <c r="E75" i="20"/>
  <c r="E13" i="3"/>
  <c r="E11" i="3"/>
  <c r="D11" i="3"/>
  <c r="F13" i="3"/>
  <c r="B13" i="3"/>
  <c r="B12" i="3"/>
  <c r="D13" i="3"/>
  <c r="B14" i="3"/>
  <c r="F11" i="3"/>
  <c r="B11" i="3"/>
  <c r="H80" i="20" l="1"/>
  <c r="E74" i="20"/>
  <c r="E73" i="20"/>
  <c r="E79" i="20" s="1"/>
  <c r="E80" i="20" s="1"/>
  <c r="E70" i="20"/>
  <c r="E67" i="20"/>
  <c r="E69" i="20" s="1"/>
  <c r="E71" i="20" s="1"/>
  <c r="E65" i="20"/>
  <c r="H76" i="19"/>
  <c r="H75" i="19"/>
  <c r="H74" i="19"/>
  <c r="H73" i="19"/>
  <c r="H79" i="19" s="1"/>
  <c r="H70" i="19"/>
  <c r="H67" i="19"/>
  <c r="H69" i="19" s="1"/>
  <c r="H71" i="19" s="1"/>
  <c r="H65" i="19"/>
  <c r="E80" i="19"/>
  <c r="E79" i="19"/>
  <c r="E73" i="19"/>
  <c r="E77" i="19"/>
  <c r="E76" i="19"/>
  <c r="E75" i="19"/>
  <c r="D92" i="19"/>
  <c r="C92" i="19"/>
  <c r="D90" i="19"/>
  <c r="D89" i="19"/>
  <c r="D88" i="19"/>
  <c r="D87" i="19"/>
  <c r="D91" i="19"/>
  <c r="C91" i="19"/>
  <c r="C90" i="19"/>
  <c r="C89" i="19"/>
  <c r="C88" i="19"/>
  <c r="C87" i="19"/>
  <c r="E67" i="19"/>
  <c r="E70" i="19"/>
  <c r="E65" i="19"/>
  <c r="E74" i="19"/>
  <c r="E69" i="19"/>
  <c r="E71" i="19" s="1"/>
  <c r="G79" i="17"/>
  <c r="G80" i="18"/>
  <c r="G79" i="18"/>
  <c r="F79" i="18"/>
  <c r="F80" i="18" s="1"/>
  <c r="F28" i="18"/>
  <c r="E79" i="18"/>
  <c r="F67" i="18"/>
  <c r="E67" i="18"/>
  <c r="E69" i="18" s="1"/>
  <c r="E71" i="18" s="1"/>
  <c r="H75" i="18"/>
  <c r="G74" i="18"/>
  <c r="F74" i="18"/>
  <c r="E74" i="18"/>
  <c r="H69" i="17"/>
  <c r="G69" i="17"/>
  <c r="F69" i="17"/>
  <c r="F71" i="17" s="1"/>
  <c r="E69" i="17"/>
  <c r="H73" i="18"/>
  <c r="H68" i="18"/>
  <c r="H74" i="18" s="1"/>
  <c r="G67" i="18"/>
  <c r="G69" i="18" s="1"/>
  <c r="G71" i="18" s="1"/>
  <c r="H65" i="18"/>
  <c r="C86" i="17"/>
  <c r="C84" i="17"/>
  <c r="C83" i="17"/>
  <c r="F79" i="17"/>
  <c r="F80" i="17"/>
  <c r="H79" i="17"/>
  <c r="E79" i="17"/>
  <c r="E80" i="17" s="1"/>
  <c r="H80" i="17"/>
  <c r="G80" i="17"/>
  <c r="H77" i="17"/>
  <c r="G77" i="17"/>
  <c r="F77" i="17"/>
  <c r="E77" i="17"/>
  <c r="G75" i="17"/>
  <c r="F75" i="17"/>
  <c r="H76" i="17"/>
  <c r="G76" i="17"/>
  <c r="F76" i="17"/>
  <c r="E76" i="17"/>
  <c r="E75" i="17"/>
  <c r="H74" i="17"/>
  <c r="G74" i="17"/>
  <c r="F74" i="17"/>
  <c r="E74" i="17"/>
  <c r="H73" i="17"/>
  <c r="G73" i="17"/>
  <c r="F73" i="17"/>
  <c r="E73" i="17"/>
  <c r="H70" i="17"/>
  <c r="H71" i="17" s="1"/>
  <c r="C85" i="17" s="1"/>
  <c r="G71" i="17"/>
  <c r="E71" i="17"/>
  <c r="G70" i="17"/>
  <c r="F70" i="17"/>
  <c r="E70" i="17"/>
  <c r="H68" i="17"/>
  <c r="G65" i="17"/>
  <c r="F65" i="17"/>
  <c r="G67" i="17"/>
  <c r="F67" i="17"/>
  <c r="E67" i="17"/>
  <c r="E65" i="17"/>
  <c r="H65" i="17" s="1"/>
  <c r="D4" i="21"/>
  <c r="C4" i="21"/>
  <c r="D3" i="21"/>
  <c r="C3" i="21"/>
  <c r="F28" i="20"/>
  <c r="F28" i="19"/>
  <c r="T13" i="3"/>
  <c r="T11" i="3"/>
  <c r="S11" i="3"/>
  <c r="S13" i="3"/>
  <c r="R11" i="3"/>
  <c r="Q11" i="3"/>
  <c r="R13" i="3"/>
  <c r="Q13" i="3"/>
  <c r="O13" i="3"/>
  <c r="O11" i="3"/>
  <c r="L13" i="3"/>
  <c r="L11" i="3"/>
  <c r="M13" i="3"/>
  <c r="N11" i="3"/>
  <c r="N13" i="3"/>
  <c r="M11" i="3"/>
  <c r="J13" i="3"/>
  <c r="J11" i="3"/>
  <c r="H11" i="3"/>
  <c r="H13" i="3"/>
  <c r="I13" i="3"/>
  <c r="G13" i="3"/>
  <c r="I11" i="3"/>
  <c r="G11" i="3"/>
  <c r="H67" i="18" l="1"/>
  <c r="H69" i="18" s="1"/>
  <c r="H70" i="18" s="1"/>
  <c r="F69" i="18"/>
  <c r="F71" i="18" s="1"/>
  <c r="H71" i="18" s="1"/>
  <c r="H77" i="19"/>
  <c r="H80" i="19" s="1"/>
  <c r="H75" i="17"/>
  <c r="H67" i="17"/>
  <c r="C16" i="19"/>
  <c r="C17" i="19"/>
  <c r="C18" i="19" s="1"/>
  <c r="C17" i="17"/>
  <c r="F28" i="17" l="1"/>
  <c r="C18" i="15"/>
  <c r="C18" i="17"/>
  <c r="C17" i="15"/>
  <c r="I45" i="15"/>
  <c r="I45" i="17"/>
  <c r="I44" i="15"/>
  <c r="I43" i="15"/>
  <c r="I42" i="15"/>
  <c r="I41" i="15"/>
  <c r="I44" i="17"/>
  <c r="I43" i="17"/>
  <c r="I42" i="17"/>
  <c r="I41" i="17"/>
  <c r="I40" i="15"/>
  <c r="I40" i="17"/>
  <c r="H44" i="15"/>
  <c r="H43" i="15"/>
  <c r="H42" i="15"/>
  <c r="H41" i="15"/>
  <c r="H44" i="17"/>
  <c r="H43" i="17"/>
  <c r="H42" i="17"/>
  <c r="H41" i="17"/>
  <c r="H40" i="15"/>
  <c r="H40" i="17"/>
  <c r="G44" i="15"/>
  <c r="G43" i="15"/>
  <c r="G42" i="15"/>
  <c r="G41" i="15"/>
  <c r="G44" i="17"/>
  <c r="G43" i="17"/>
  <c r="G42" i="17"/>
  <c r="G41" i="17"/>
  <c r="G41" i="18"/>
  <c r="H41" i="18" s="1"/>
  <c r="I41" i="18" s="1"/>
  <c r="G40" i="15"/>
  <c r="G40" i="17"/>
  <c r="F44" i="15"/>
  <c r="F43" i="15"/>
  <c r="F42" i="15"/>
  <c r="F41" i="15"/>
  <c r="F44" i="17"/>
  <c r="F43" i="17"/>
  <c r="F42" i="17"/>
  <c r="F41" i="17"/>
  <c r="F44" i="18"/>
  <c r="G44" i="18" s="1"/>
  <c r="H44" i="18" s="1"/>
  <c r="I44" i="18" s="1"/>
  <c r="F43" i="18"/>
  <c r="G43" i="18" s="1"/>
  <c r="H43" i="18" s="1"/>
  <c r="I43" i="18" s="1"/>
  <c r="F42" i="18"/>
  <c r="G42" i="18" s="1"/>
  <c r="H42" i="18" s="1"/>
  <c r="I42" i="18" s="1"/>
  <c r="F41" i="18"/>
  <c r="F44" i="20"/>
  <c r="G44" i="20" s="1"/>
  <c r="H44" i="20" s="1"/>
  <c r="I44" i="20" s="1"/>
  <c r="F43" i="20"/>
  <c r="G43" i="20" s="1"/>
  <c r="H43" i="20" s="1"/>
  <c r="I43" i="20" s="1"/>
  <c r="F42" i="20"/>
  <c r="G42" i="20" s="1"/>
  <c r="H42" i="20" s="1"/>
  <c r="I42" i="20" s="1"/>
  <c r="F41" i="20"/>
  <c r="G41" i="20" s="1"/>
  <c r="H41" i="20" s="1"/>
  <c r="I41" i="20" s="1"/>
  <c r="F43" i="19"/>
  <c r="F40" i="15"/>
  <c r="F40" i="17"/>
  <c r="F40" i="18"/>
  <c r="F40" i="20"/>
  <c r="G40" i="20" s="1"/>
  <c r="H40" i="20" s="1"/>
  <c r="I40" i="20" s="1"/>
  <c r="E44" i="19"/>
  <c r="F44" i="19" s="1"/>
  <c r="E43" i="19"/>
  <c r="E42" i="19"/>
  <c r="F42" i="19" s="1"/>
  <c r="E41" i="19"/>
  <c r="F41" i="19" s="1"/>
  <c r="E40" i="19"/>
  <c r="F40" i="19" s="1"/>
  <c r="C44" i="19"/>
  <c r="C43" i="19"/>
  <c r="C42" i="19"/>
  <c r="C41" i="19"/>
  <c r="C40" i="19"/>
  <c r="C49" i="17"/>
  <c r="C53" i="17" s="1"/>
  <c r="E25" i="20"/>
  <c r="F26" i="20" s="1"/>
  <c r="C16" i="20"/>
  <c r="G18" i="20"/>
  <c r="F30" i="20"/>
  <c r="F29" i="20"/>
  <c r="F31" i="20"/>
  <c r="C11" i="20"/>
  <c r="F31" i="19"/>
  <c r="F30" i="19"/>
  <c r="F29" i="19"/>
  <c r="G18" i="19"/>
  <c r="C20" i="19"/>
  <c r="C11" i="19"/>
  <c r="F31" i="18"/>
  <c r="F30" i="18"/>
  <c r="F29" i="18"/>
  <c r="C16" i="18"/>
  <c r="C11" i="18"/>
  <c r="G40" i="18" l="1"/>
  <c r="H40" i="18" s="1"/>
  <c r="I40" i="18" s="1"/>
  <c r="I45" i="18" s="1"/>
  <c r="F76" i="18"/>
  <c r="F77" i="18" s="1"/>
  <c r="E76" i="18"/>
  <c r="E77" i="18" s="1"/>
  <c r="G76" i="18"/>
  <c r="G77" i="18" s="1"/>
  <c r="H76" i="20"/>
  <c r="H77" i="20" s="1"/>
  <c r="E76" i="20"/>
  <c r="E77" i="20" s="1"/>
  <c r="I45" i="20"/>
  <c r="G41" i="19"/>
  <c r="H41" i="19" s="1"/>
  <c r="I41" i="19"/>
  <c r="G42" i="19"/>
  <c r="H42" i="19" s="1"/>
  <c r="I42" i="19"/>
  <c r="G40" i="19"/>
  <c r="H40" i="19" s="1"/>
  <c r="I40" i="19" s="1"/>
  <c r="G44" i="19"/>
  <c r="H44" i="19" s="1"/>
  <c r="I44" i="19" s="1"/>
  <c r="G43" i="19"/>
  <c r="H43" i="19" s="1"/>
  <c r="I43" i="19" s="1"/>
  <c r="F23" i="17"/>
  <c r="F29" i="17"/>
  <c r="F31" i="17"/>
  <c r="F30" i="17"/>
  <c r="E25" i="17"/>
  <c r="F26" i="17" s="1"/>
  <c r="F20" i="17"/>
  <c r="C16" i="17"/>
  <c r="C11" i="17"/>
  <c r="O80" i="20"/>
  <c r="L80" i="20"/>
  <c r="O77" i="20"/>
  <c r="L77" i="20"/>
  <c r="O71" i="20"/>
  <c r="L71" i="20"/>
  <c r="O69" i="20"/>
  <c r="L69" i="20"/>
  <c r="O65" i="20"/>
  <c r="L65" i="20"/>
  <c r="M64" i="20"/>
  <c r="J64" i="20"/>
  <c r="H64" i="20"/>
  <c r="F64" i="20"/>
  <c r="G64" i="20" s="1"/>
  <c r="A2" i="20"/>
  <c r="O80" i="19"/>
  <c r="L80" i="19"/>
  <c r="O77" i="19"/>
  <c r="L77" i="19"/>
  <c r="O71" i="19"/>
  <c r="L71" i="19"/>
  <c r="O69" i="19"/>
  <c r="L69" i="19"/>
  <c r="O65" i="19"/>
  <c r="L65" i="19"/>
  <c r="M64" i="19"/>
  <c r="J64" i="19"/>
  <c r="H64" i="19"/>
  <c r="F64" i="19"/>
  <c r="G64" i="19" s="1"/>
  <c r="A2" i="19"/>
  <c r="L80" i="18"/>
  <c r="O77" i="18"/>
  <c r="L77" i="18"/>
  <c r="O71" i="18"/>
  <c r="L71" i="18"/>
  <c r="O69" i="18"/>
  <c r="L69" i="18"/>
  <c r="O65" i="18"/>
  <c r="L65" i="18"/>
  <c r="M64" i="18"/>
  <c r="J64" i="18"/>
  <c r="H64" i="18"/>
  <c r="F64" i="18"/>
  <c r="G64" i="18" s="1"/>
  <c r="A2" i="18"/>
  <c r="O80" i="17"/>
  <c r="L80" i="17"/>
  <c r="O77" i="17"/>
  <c r="L77" i="17"/>
  <c r="O71" i="17"/>
  <c r="L71" i="17"/>
  <c r="O69" i="17"/>
  <c r="L69" i="17"/>
  <c r="O65" i="17"/>
  <c r="L65" i="17"/>
  <c r="M64" i="17"/>
  <c r="J64" i="17"/>
  <c r="H64" i="17"/>
  <c r="F64" i="17"/>
  <c r="G64" i="17" s="1"/>
  <c r="A2" i="17"/>
  <c r="C17" i="18" l="1"/>
  <c r="C18" i="18" s="1"/>
  <c r="F18" i="18" s="1"/>
  <c r="H77" i="18"/>
  <c r="E80" i="18"/>
  <c r="M77" i="20"/>
  <c r="M65" i="20"/>
  <c r="C17" i="20"/>
  <c r="C18" i="20" s="1"/>
  <c r="F18" i="20" s="1"/>
  <c r="M69" i="17"/>
  <c r="I45" i="19"/>
  <c r="F18" i="19" s="1"/>
  <c r="M77" i="19"/>
  <c r="M69" i="18"/>
  <c r="F18" i="17"/>
  <c r="F32" i="17" s="1"/>
  <c r="M77" i="18"/>
  <c r="M80" i="17"/>
  <c r="M77" i="17"/>
  <c r="K64" i="17"/>
  <c r="M71" i="20"/>
  <c r="M69" i="20"/>
  <c r="M80" i="20"/>
  <c r="K64" i="20"/>
  <c r="M71" i="19"/>
  <c r="M69" i="19"/>
  <c r="M65" i="19"/>
  <c r="M80" i="19"/>
  <c r="K64" i="19"/>
  <c r="M71" i="18"/>
  <c r="M65" i="18"/>
  <c r="M80" i="18"/>
  <c r="K64" i="18"/>
  <c r="M71" i="17"/>
  <c r="M65" i="17"/>
  <c r="M64" i="15"/>
  <c r="J64" i="15"/>
  <c r="K64" i="15" s="1"/>
  <c r="O80" i="15"/>
  <c r="O77" i="15"/>
  <c r="O71" i="15"/>
  <c r="O69" i="15"/>
  <c r="O65" i="15"/>
  <c r="L80" i="15"/>
  <c r="L77" i="15"/>
  <c r="L71" i="15"/>
  <c r="L69" i="15"/>
  <c r="L65" i="15"/>
  <c r="E12" i="3"/>
  <c r="E14" i="3"/>
  <c r="F33" i="18" l="1"/>
  <c r="C6" i="21"/>
  <c r="H18" i="18"/>
  <c r="D20" i="18" s="1"/>
  <c r="E20" i="18" s="1"/>
  <c r="F20" i="18" s="1"/>
  <c r="F32" i="18" s="1"/>
  <c r="H80" i="18"/>
  <c r="O80" i="18"/>
  <c r="F33" i="20"/>
  <c r="C5" i="21"/>
  <c r="F32" i="20"/>
  <c r="H18" i="20"/>
  <c r="H18" i="19"/>
  <c r="D20" i="19" s="1"/>
  <c r="E20" i="19" s="1"/>
  <c r="F20" i="19" s="1"/>
  <c r="F32" i="19" s="1"/>
  <c r="H18" i="17"/>
  <c r="M77" i="15"/>
  <c r="M71" i="15"/>
  <c r="M65" i="15"/>
  <c r="M80" i="15"/>
  <c r="M69" i="15"/>
  <c r="F39" i="2"/>
  <c r="F38" i="2"/>
  <c r="F40" i="2" s="1"/>
  <c r="B33" i="2"/>
  <c r="D25" i="2"/>
  <c r="E25" i="2" s="1"/>
  <c r="D24" i="2"/>
  <c r="E24" i="2" s="1"/>
  <c r="A20" i="2"/>
  <c r="A14" i="2"/>
  <c r="M10" i="2"/>
  <c r="P4" i="2"/>
  <c r="M4" i="2"/>
  <c r="F4" i="2"/>
  <c r="D12" i="3"/>
  <c r="F12" i="3"/>
  <c r="D14" i="3"/>
  <c r="F14" i="3"/>
  <c r="T14" i="3"/>
  <c r="O14" i="3"/>
  <c r="J14" i="3"/>
  <c r="Q14" i="3"/>
  <c r="S14" i="3"/>
  <c r="R14" i="3"/>
  <c r="N14" i="3"/>
  <c r="L14" i="3"/>
  <c r="M14" i="3"/>
  <c r="I14" i="3"/>
  <c r="G14" i="3"/>
  <c r="H14" i="3"/>
  <c r="T12" i="3"/>
  <c r="O12" i="3"/>
  <c r="J12" i="3"/>
  <c r="Q12" i="3"/>
  <c r="R12" i="3"/>
  <c r="S12" i="3"/>
  <c r="L12" i="3"/>
  <c r="M12" i="3"/>
  <c r="N12" i="3"/>
  <c r="I12" i="3"/>
  <c r="G12" i="3"/>
  <c r="H12" i="3"/>
  <c r="H16" i="3" l="1"/>
  <c r="I16" i="3"/>
  <c r="N16" i="3"/>
  <c r="M16" i="3"/>
  <c r="L16" i="3"/>
  <c r="S16" i="3"/>
  <c r="R16" i="3"/>
  <c r="Q16" i="3"/>
  <c r="J16" i="3"/>
  <c r="O16" i="3"/>
  <c r="T16" i="3"/>
  <c r="G16" i="3"/>
  <c r="D6" i="21"/>
  <c r="D5" i="21"/>
  <c r="F25" i="2"/>
  <c r="G25" i="2" s="1"/>
  <c r="H25" i="2" s="1"/>
  <c r="F24" i="2"/>
  <c r="G24" i="2" s="1"/>
  <c r="H24" i="2" s="1"/>
  <c r="C8" i="2" l="1"/>
  <c r="F8" i="2" s="1"/>
  <c r="M8" i="2" s="1"/>
  <c r="P8" i="2" s="1"/>
  <c r="C7" i="2"/>
  <c r="F7" i="2" s="1"/>
  <c r="M7" i="2" s="1"/>
  <c r="P7" i="2" s="1"/>
  <c r="H26" i="2"/>
  <c r="H64" i="15"/>
  <c r="F64" i="15"/>
  <c r="G64" i="15" l="1"/>
  <c r="A2" i="15" l="1"/>
  <c r="Z15" i="3" l="1"/>
</calcChain>
</file>

<file path=xl/comments1.xml><?xml version="1.0" encoding="utf-8"?>
<comments xmlns="http://schemas.openxmlformats.org/spreadsheetml/2006/main">
  <authors>
    <author>lenovo</author>
  </authors>
  <commentList>
    <comment ref="F28" authorId="0" shapeId="0">
      <text>
        <r>
          <rPr>
            <b/>
            <sz val="9"/>
            <color indexed="81"/>
            <rFont val="Tahoma"/>
            <family val="2"/>
          </rPr>
          <t>slide 199 of annual report</t>
        </r>
      </text>
    </comment>
    <comment ref="C49" authorId="0" shapeId="0">
      <text>
        <r>
          <rPr>
            <b/>
            <sz val="9"/>
            <color indexed="81"/>
            <rFont val="Tahoma"/>
            <family val="2"/>
          </rPr>
          <t xml:space="preserve">note 41 ANNUAL REPORT
</t>
        </r>
      </text>
    </comment>
  </commentList>
</comments>
</file>

<file path=xl/comments2.xml><?xml version="1.0" encoding="utf-8"?>
<comments xmlns="http://schemas.openxmlformats.org/spreadsheetml/2006/main">
  <authors>
    <author>lenovo</author>
  </authors>
  <commentList>
    <comment ref="F28" authorId="0" shapeId="0">
      <text>
        <r>
          <rPr>
            <b/>
            <sz val="9"/>
            <color indexed="81"/>
            <rFont val="Tahoma"/>
            <family val="2"/>
          </rPr>
          <t xml:space="preserve">page 253 of AR
</t>
        </r>
      </text>
    </comment>
  </commentList>
</comments>
</file>

<file path=xl/comments3.xml><?xml version="1.0" encoding="utf-8"?>
<comments xmlns="http://schemas.openxmlformats.org/spreadsheetml/2006/main">
  <authors>
    <author>lenovo</author>
  </authors>
  <commentList>
    <comment ref="C16" authorId="0" shapeId="0">
      <text>
        <r>
          <rPr>
            <b/>
            <sz val="9"/>
            <color indexed="81"/>
            <rFont val="Tahoma"/>
            <charset val="1"/>
          </rPr>
          <t xml:space="preserve">AR 31March 2023, page 110
</t>
        </r>
      </text>
    </comment>
    <comment ref="G18" authorId="0" shapeId="0">
      <text>
        <r>
          <rPr>
            <b/>
            <sz val="9"/>
            <color indexed="81"/>
            <rFont val="Tahoma"/>
            <charset val="1"/>
          </rPr>
          <t xml:space="preserve">CFS 31 march 2024
</t>
        </r>
      </text>
    </comment>
    <comment ref="C20" authorId="0" shapeId="0">
      <text>
        <r>
          <rPr>
            <b/>
            <sz val="9"/>
            <color indexed="81"/>
            <rFont val="Tahoma"/>
            <charset val="1"/>
          </rPr>
          <t>Page 3 of CFS 31 March 2024</t>
        </r>
      </text>
    </comment>
    <comment ref="F28" authorId="0" shapeId="0">
      <text>
        <r>
          <rPr>
            <b/>
            <sz val="9"/>
            <color indexed="81"/>
            <rFont val="Tahoma"/>
            <family val="2"/>
          </rPr>
          <t>slide 117 of annual report
recheck</t>
        </r>
      </text>
    </comment>
    <comment ref="C40" authorId="0" shapeId="0">
      <text>
        <r>
          <rPr>
            <b/>
            <sz val="9"/>
            <color indexed="81"/>
            <rFont val="Tahoma"/>
            <family val="2"/>
          </rPr>
          <t>NOTE 40 OF 86TH ANNUAL REPORT - SLIDE 118</t>
        </r>
      </text>
    </comment>
    <comment ref="C87" authorId="0" shapeId="0">
      <text>
        <r>
          <rPr>
            <b/>
            <sz val="9"/>
            <color indexed="81"/>
            <rFont val="Tahoma"/>
            <family val="2"/>
          </rPr>
          <t>cash flow statement</t>
        </r>
      </text>
    </comment>
  </commentList>
</comments>
</file>

<file path=xl/comments4.xml><?xml version="1.0" encoding="utf-8"?>
<comments xmlns="http://schemas.openxmlformats.org/spreadsheetml/2006/main">
  <authors>
    <author>lenovo</author>
  </authors>
  <commentList>
    <comment ref="E15" authorId="0" shapeId="0">
      <text>
        <r>
          <rPr>
            <b/>
            <sz val="9"/>
            <color indexed="81"/>
            <rFont val="Tahoma"/>
            <family val="2"/>
          </rPr>
          <t>lenovo:</t>
        </r>
        <r>
          <rPr>
            <sz val="9"/>
            <color indexed="81"/>
            <rFont val="Tahoma"/>
            <family val="2"/>
          </rPr>
          <t xml:space="preserve">
</t>
        </r>
      </text>
    </comment>
    <comment ref="C16" authorId="0" shapeId="0">
      <text>
        <r>
          <rPr>
            <b/>
            <sz val="9"/>
            <color indexed="81"/>
            <rFont val="Tahoma"/>
            <charset val="1"/>
          </rPr>
          <t>slide 304 annual report 2022-23</t>
        </r>
      </text>
    </comment>
    <comment ref="H18" authorId="0" shapeId="0">
      <text>
        <r>
          <rPr>
            <b/>
            <sz val="9"/>
            <color indexed="81"/>
            <rFont val="Tahoma"/>
            <charset val="1"/>
          </rPr>
          <t>since PSU, low P/BV as compared to other private players</t>
        </r>
      </text>
    </comment>
    <comment ref="E25" authorId="0" shapeId="0">
      <text>
        <r>
          <rPr>
            <b/>
            <sz val="9"/>
            <color indexed="81"/>
            <rFont val="Tahoma"/>
            <charset val="1"/>
          </rPr>
          <t>borrowings</t>
        </r>
      </text>
    </comment>
    <comment ref="F28" authorId="0" shapeId="0">
      <text>
        <r>
          <rPr>
            <b/>
            <sz val="9"/>
            <color indexed="81"/>
            <rFont val="Tahoma"/>
            <family val="2"/>
          </rPr>
          <t>slide 322 of annual report
but info is wrong check with sir's file</t>
        </r>
      </text>
    </comment>
  </commentList>
</comments>
</file>

<file path=xl/sharedStrings.xml><?xml version="1.0" encoding="utf-8"?>
<sst xmlns="http://schemas.openxmlformats.org/spreadsheetml/2006/main" count="742" uniqueCount="270">
  <si>
    <t>Company Name</t>
  </si>
  <si>
    <t>Calculation of Dilution</t>
  </si>
  <si>
    <t>Basic Details</t>
  </si>
  <si>
    <t>Analyst Name</t>
  </si>
  <si>
    <t>Updation Date</t>
  </si>
  <si>
    <t>Exercise</t>
  </si>
  <si>
    <t>Notional</t>
  </si>
  <si>
    <t>Net</t>
  </si>
  <si>
    <t>Latest Annual</t>
  </si>
  <si>
    <t>O/S</t>
  </si>
  <si>
    <t>Price</t>
  </si>
  <si>
    <t>ITM?</t>
  </si>
  <si>
    <t>Shares Issued</t>
  </si>
  <si>
    <t>Cash</t>
  </si>
  <si>
    <t>Buyback</t>
  </si>
  <si>
    <t>Dilution</t>
  </si>
  <si>
    <t>Latest Quarter</t>
  </si>
  <si>
    <t>Reported Currency</t>
  </si>
  <si>
    <t>Tax Rate</t>
  </si>
  <si>
    <t>Enterprise Value</t>
  </si>
  <si>
    <t>Class A</t>
  </si>
  <si>
    <t>Class B</t>
  </si>
  <si>
    <t>Class C</t>
  </si>
  <si>
    <t>Per Share Price</t>
  </si>
  <si>
    <t>Shares Outstanding Basic</t>
  </si>
  <si>
    <t>Shares Outstanding Diluted</t>
  </si>
  <si>
    <t>Market Cap</t>
  </si>
  <si>
    <t>Minority Interest</t>
  </si>
  <si>
    <t>+ Pref. Share Capital</t>
  </si>
  <si>
    <t>+ Debt</t>
  </si>
  <si>
    <t>Conversion Price</t>
  </si>
  <si>
    <t>Share Dilution</t>
  </si>
  <si>
    <t>Nature</t>
  </si>
  <si>
    <t>Face Value</t>
  </si>
  <si>
    <t>+ Debt Equivalents</t>
  </si>
  <si>
    <t>Unfunded Pension Obligations</t>
  </si>
  <si>
    <t>Capitalised Value of Operating Lease</t>
  </si>
  <si>
    <t>- Cash &amp; Cash Equivalents</t>
  </si>
  <si>
    <t>Non Operating Assets</t>
  </si>
  <si>
    <t>Weighted Average Share Price of All Classes of Share</t>
  </si>
  <si>
    <t>Key Financials</t>
  </si>
  <si>
    <t>Annual</t>
  </si>
  <si>
    <t>Crt. YTD</t>
  </si>
  <si>
    <t>Pr. YTD</t>
  </si>
  <si>
    <t>LTM</t>
  </si>
  <si>
    <t>FY1</t>
  </si>
  <si>
    <t>FY2</t>
  </si>
  <si>
    <t>FY3</t>
  </si>
  <si>
    <t>12M</t>
  </si>
  <si>
    <t>Reported Sales</t>
  </si>
  <si>
    <t>Reported EBIT/Operating Income</t>
  </si>
  <si>
    <t>Add/Less: Exceptional/No-Operating Items reported above EBIT</t>
  </si>
  <si>
    <t>Adjusted EBIT</t>
  </si>
  <si>
    <t>Add: D&amp;A</t>
  </si>
  <si>
    <t>Adjusted EBITDA</t>
  </si>
  <si>
    <t>Add/Less: Exceptional Items reported above EBIT</t>
  </si>
  <si>
    <t>Add/Less: Exceptional Items reported below EBIT</t>
  </si>
  <si>
    <t>Less: Tax on Adjustments</t>
  </si>
  <si>
    <t>Diluted Wrighted Average No of Shares</t>
  </si>
  <si>
    <t>Diluted EPS</t>
  </si>
  <si>
    <t>Industry Multiple Range</t>
  </si>
  <si>
    <t>Total Debt</t>
  </si>
  <si>
    <t>Cash &amp; Cash Eq</t>
  </si>
  <si>
    <t>Investments</t>
  </si>
  <si>
    <t>Diluted Shares O/S</t>
  </si>
  <si>
    <t>Metrics</t>
  </si>
  <si>
    <t>Lower</t>
  </si>
  <si>
    <t>Higher</t>
  </si>
  <si>
    <t>Basic Shares o/s</t>
  </si>
  <si>
    <t>Diluted Shares o/s</t>
  </si>
  <si>
    <t>Comparable Company Analysis</t>
  </si>
  <si>
    <t>(All numbers are in millions except per share data)</t>
  </si>
  <si>
    <t>Industry</t>
  </si>
  <si>
    <t>Geography</t>
  </si>
  <si>
    <t>Currency</t>
  </si>
  <si>
    <t>F33</t>
  </si>
  <si>
    <t>Exchange Rate</t>
  </si>
  <si>
    <t>LTM Multiples</t>
  </si>
  <si>
    <t>FY1 Multiple</t>
  </si>
  <si>
    <t>FY2 Multiple</t>
  </si>
  <si>
    <t>Peer Group Companies</t>
  </si>
  <si>
    <t>CMP</t>
  </si>
  <si>
    <t>EV</t>
  </si>
  <si>
    <t>EV/Sales</t>
  </si>
  <si>
    <t>EV/EBITDA</t>
  </si>
  <si>
    <t>EV/EBIT</t>
  </si>
  <si>
    <t>P/E</t>
  </si>
  <si>
    <t>Growth</t>
  </si>
  <si>
    <t>Median</t>
  </si>
  <si>
    <t>Units Outstanding</t>
  </si>
  <si>
    <t>Per Share Market Price</t>
  </si>
  <si>
    <t>Market Portal</t>
  </si>
  <si>
    <t>Date</t>
  </si>
  <si>
    <t>As on Updation Date</t>
  </si>
  <si>
    <t>Source</t>
  </si>
  <si>
    <t>Information Item</t>
  </si>
  <si>
    <t>Searching Key Words</t>
  </si>
  <si>
    <r>
      <t>Latest Financial Report Published by Co Till Updation Date</t>
    </r>
    <r>
      <rPr>
        <b/>
        <sz val="11"/>
        <color theme="1"/>
        <rFont val="Calibri"/>
        <family val="2"/>
        <scheme val="minor"/>
      </rPr>
      <t xml:space="preserve">
Note 1</t>
    </r>
    <r>
      <rPr>
        <sz val="11"/>
        <color theme="1"/>
        <rFont val="Calibri"/>
        <family val="2"/>
        <scheme val="minor"/>
      </rPr>
      <t xml:space="preserve"> If Latest financial report is Quarterly Filing, then there are chances that you may not find comlete info about dilution  into in Quarterly report, in that case you may refer latest available annual report published by co till updation date.
</t>
    </r>
    <r>
      <rPr>
        <b/>
        <sz val="11"/>
        <color theme="1"/>
        <rFont val="Calibri"/>
        <family val="2"/>
        <scheme val="minor"/>
      </rPr>
      <t>Note 2</t>
    </r>
    <r>
      <rPr>
        <sz val="11"/>
        <color theme="1"/>
        <rFont val="Calibri"/>
        <family val="2"/>
        <scheme val="minor"/>
      </rPr>
      <t xml:space="preserve"> Information about dilution would be disclosed by the co in notes to accounts</t>
    </r>
  </si>
  <si>
    <t>1. Latest Financial Report available on updation date.
2. In Case complete infor not available in latest report due to quarterly filing, then you may refer latest annual report available</t>
  </si>
  <si>
    <t>1. ESoPS/RSUs/PSU etc.</t>
  </si>
  <si>
    <t>2. Warrants</t>
  </si>
  <si>
    <t>3. Convertible Debt</t>
  </si>
  <si>
    <t>4. Convertible Pref Shares</t>
  </si>
  <si>
    <t>Warrants</t>
  </si>
  <si>
    <t>Convertible</t>
  </si>
  <si>
    <t>Pref. Share Capital</t>
  </si>
  <si>
    <t xml:space="preserve"> Debt</t>
  </si>
  <si>
    <t>Cash &amp; Cash Equivalents</t>
  </si>
  <si>
    <t>Basic Shares Outstanding</t>
  </si>
  <si>
    <t>As Latest as possible on Updation Date</t>
  </si>
  <si>
    <t>Latest Financial Report Published by Co Till Updation Date
       -In Case of US Co; On First page of 10K and 10Q
      - in Case of Non US Company, Notes to Accounts</t>
  </si>
  <si>
    <t>From Balance Sheet</t>
  </si>
  <si>
    <t>Latest Available on Updation Date</t>
  </si>
  <si>
    <t>Notest to Accounts</t>
  </si>
  <si>
    <t>Should be from Latest availbale Financial report.
But in case latest is quarterly then you would have to refer annual as this info will not be availbale in quarterly report</t>
  </si>
  <si>
    <t>Plan Assets</t>
  </si>
  <si>
    <t>Ticker</t>
  </si>
  <si>
    <t>1. Forfeited
2. Nonvested</t>
  </si>
  <si>
    <t>25th Percentile</t>
  </si>
  <si>
    <t>75th Percentile</t>
  </si>
  <si>
    <t>Adjusted Net Income to Common Shareholders of the Company</t>
  </si>
  <si>
    <t>LTM Revenue</t>
  </si>
  <si>
    <r>
      <rPr>
        <b/>
        <sz val="11"/>
        <color theme="1"/>
        <rFont val="Calibri"/>
        <family val="2"/>
        <scheme val="minor"/>
      </rPr>
      <t xml:space="preserve">Income Statement </t>
    </r>
    <r>
      <rPr>
        <sz val="11"/>
        <color theme="1"/>
        <rFont val="Calibri"/>
        <family val="2"/>
        <scheme val="minor"/>
      </rPr>
      <t xml:space="preserve">- Annual and Quarterly Report Published by Company </t>
    </r>
  </si>
  <si>
    <t>Latest Annual and Quarterly Report Published by Company till Updation Date
 -In Case no Quarterly filing post annual filing, Only Annual filing
 - in Case Quarterly filing published post latest Annual filing, both latest annual and quarterly filing would be required</t>
  </si>
  <si>
    <t>LTM Operating Income/EBIT</t>
  </si>
  <si>
    <t>In Respective Annual and Quarterly Filings</t>
  </si>
  <si>
    <t>Cleaning of Reported Numbers</t>
  </si>
  <si>
    <t xml:space="preserve">
</t>
  </si>
  <si>
    <t>Non-GAAP, Comparability</t>
  </si>
  <si>
    <t xml:space="preserve">Depreciation and Amortisation </t>
  </si>
  <si>
    <r>
      <rPr>
        <b/>
        <sz val="11"/>
        <color theme="1"/>
        <rFont val="Calibri"/>
        <family val="2"/>
        <scheme val="minor"/>
      </rPr>
      <t xml:space="preserve">Cash Flow Statement </t>
    </r>
    <r>
      <rPr>
        <sz val="11"/>
        <color theme="1"/>
        <rFont val="Calibri"/>
        <family val="2"/>
        <scheme val="minor"/>
      </rPr>
      <t xml:space="preserve">- Annual and Quarterly Report Published by Company </t>
    </r>
  </si>
  <si>
    <t>LTM Net Income
(Before Minority Interest Share)</t>
  </si>
  <si>
    <t>Weighted Average No. of Diluted Shares Outstyanding</t>
  </si>
  <si>
    <r>
      <rPr>
        <b/>
        <sz val="11"/>
        <color theme="1"/>
        <rFont val="Calibri"/>
        <family val="2"/>
        <scheme val="minor"/>
      </rPr>
      <t xml:space="preserve">Income Statement or Notes to Accounts </t>
    </r>
    <r>
      <rPr>
        <sz val="11"/>
        <color theme="1"/>
        <rFont val="Calibri"/>
        <family val="2"/>
        <scheme val="minor"/>
      </rPr>
      <t xml:space="preserve">- Annual and Quarterly Report Published by Company </t>
    </r>
  </si>
  <si>
    <t>Consensus Estimates</t>
  </si>
  <si>
    <t>Capital IQ
Bloomberg
MarketScreener</t>
  </si>
  <si>
    <t>RSUs</t>
  </si>
  <si>
    <t>- Non Operating Assets</t>
  </si>
  <si>
    <t>ESOPS/Warrants-Treasury Stock Method</t>
  </si>
  <si>
    <t>Estimates</t>
  </si>
  <si>
    <t>Calenderised Estimates</t>
  </si>
  <si>
    <t>ESoPS/Warrants etc. Treasury Stock Method</t>
  </si>
  <si>
    <t>GAAP vs Non GAAP Recon</t>
  </si>
  <si>
    <t>MD&amp;A</t>
  </si>
  <si>
    <t>BV of MI</t>
  </si>
  <si>
    <t>P/B</t>
  </si>
  <si>
    <t>MV of MI</t>
  </si>
  <si>
    <t>BV of Pref</t>
  </si>
  <si>
    <t>MV of Pref</t>
  </si>
  <si>
    <t>Total Pref. Capital</t>
  </si>
  <si>
    <t>Less: Convertible Pref Capital</t>
  </si>
  <si>
    <t>BV of Debt</t>
  </si>
  <si>
    <t>MV of Debt</t>
  </si>
  <si>
    <t>Less: Convertible Debt</t>
  </si>
  <si>
    <t>Convertibles</t>
  </si>
  <si>
    <t>BV/MV</t>
  </si>
  <si>
    <t>CAGR</t>
  </si>
  <si>
    <t>Capitalised</t>
  </si>
  <si>
    <t>Not Capitalised</t>
  </si>
  <si>
    <t>C10</t>
  </si>
  <si>
    <t>Name of Target Company</t>
  </si>
  <si>
    <t>F18</t>
  </si>
  <si>
    <t>F32</t>
  </si>
  <si>
    <t>+ Minority Interest</t>
  </si>
  <si>
    <t>BV/MV of Debt</t>
  </si>
  <si>
    <t>BV/MV of Pref</t>
  </si>
  <si>
    <t>Total Debt (Including Capital Lease)</t>
  </si>
  <si>
    <t>Reported Net Income to Common Shareholders of the Company</t>
  </si>
  <si>
    <t>O79</t>
  </si>
  <si>
    <t xml:space="preserve">Industry </t>
  </si>
  <si>
    <t>Benchmark Multiple</t>
  </si>
  <si>
    <t>India</t>
  </si>
  <si>
    <t>Large Cap</t>
  </si>
  <si>
    <t>Industrial goods manufacturing companies</t>
  </si>
  <si>
    <t xml:space="preserve">POLYCAB INDIA LIMITED INR </t>
  </si>
  <si>
    <t xml:space="preserve">ABB INDIA LIMITED INR </t>
  </si>
  <si>
    <t xml:space="preserve">SIEMENS LIMITED INR </t>
  </si>
  <si>
    <t xml:space="preserve">BHARAT ELECTRONICS LIMITED INR </t>
  </si>
  <si>
    <t xml:space="preserve">HINDUSTAN AERONAUTICS LIMITED INR </t>
  </si>
  <si>
    <t xml:space="preserve">HAVELLS INDIA LIMITED INR </t>
  </si>
  <si>
    <t xml:space="preserve">CG POWER AND INDUSTRIAL SOLUTIONS.. INR </t>
  </si>
  <si>
    <t>BHARAT HEAVY ELECTRICALS LIMITED I</t>
  </si>
  <si>
    <t>Exclude</t>
  </si>
  <si>
    <t>Final list of Comparables</t>
  </si>
  <si>
    <t>Identify company which is most underpriced vs fair value based on trading comps technique</t>
  </si>
  <si>
    <t>Kiran</t>
  </si>
  <si>
    <t>ABB</t>
  </si>
  <si>
    <t>Date of latest anuual report</t>
  </si>
  <si>
    <t>Date of latest Quarterly report</t>
  </si>
  <si>
    <t>INR</t>
  </si>
  <si>
    <t>12% surcharge, HEC 4%</t>
  </si>
  <si>
    <t>B.V of Equity</t>
  </si>
  <si>
    <t>MV/BV</t>
  </si>
  <si>
    <t>Siemens</t>
  </si>
  <si>
    <t>BV</t>
  </si>
  <si>
    <t>CGPower</t>
  </si>
  <si>
    <t>B.V</t>
  </si>
  <si>
    <t>BHEL</t>
  </si>
  <si>
    <t>P/BV</t>
  </si>
  <si>
    <t>Grant 1</t>
  </si>
  <si>
    <t>Grant 2</t>
  </si>
  <si>
    <t>Grant 3</t>
  </si>
  <si>
    <t>Grant 4</t>
  </si>
  <si>
    <t>Grant 5</t>
  </si>
  <si>
    <t>Net defined benefit liability</t>
  </si>
  <si>
    <t>DBO(-)PA</t>
  </si>
  <si>
    <t>treated as debt as interest to be accrued over liability</t>
  </si>
  <si>
    <t>we are showing assets taken on operating lease as ROU asset and lease liability to be recognised</t>
  </si>
  <si>
    <t>Mcap</t>
  </si>
  <si>
    <t>CG</t>
  </si>
  <si>
    <t>Add/Less: Exceptional/Non-Recurring Items reported above EBIT</t>
  </si>
  <si>
    <t>Adjusted EBIT/Clean EBIT</t>
  </si>
  <si>
    <t>Diluted Weighted Average No of Shares</t>
  </si>
  <si>
    <t>LTM based multiples</t>
  </si>
  <si>
    <t>EV/LTM sales</t>
  </si>
  <si>
    <t>EV/LTM Adjusted EBIT</t>
  </si>
  <si>
    <t>EV/LTM Adjusted EBITDA</t>
  </si>
  <si>
    <t>Price/LTM Adjusted EPS</t>
  </si>
  <si>
    <t>Working Note</t>
  </si>
  <si>
    <t>Adjustments below EBIT</t>
  </si>
  <si>
    <t>Before tax</t>
  </si>
  <si>
    <t>Tax impact</t>
  </si>
  <si>
    <t>Profit on sale of investments(net)</t>
  </si>
  <si>
    <t>profit on sale of PPE</t>
  </si>
  <si>
    <t>Payment towards settlemement of litigation</t>
  </si>
  <si>
    <t>Exceptional items(net)</t>
  </si>
  <si>
    <t>Profit from discontinued operations before tax</t>
  </si>
  <si>
    <t>(first 3 items might be part of OTHER INCOME but we don’t have AR hence took data from CFS)</t>
  </si>
  <si>
    <t>Capital good manufacturing</t>
  </si>
  <si>
    <t>INDIA</t>
  </si>
  <si>
    <t>ABBIndia</t>
  </si>
  <si>
    <t>H65</t>
  </si>
  <si>
    <t>H71</t>
  </si>
  <si>
    <t>H69</t>
  </si>
  <si>
    <t>H80</t>
  </si>
  <si>
    <t>L65</t>
  </si>
  <si>
    <t>L69</t>
  </si>
  <si>
    <t>L71</t>
  </si>
  <si>
    <t>M80</t>
  </si>
  <si>
    <t>M65</t>
  </si>
  <si>
    <t>L80</t>
  </si>
  <si>
    <t>M71</t>
  </si>
  <si>
    <t>M69</t>
  </si>
  <si>
    <t>Calculated LTM Based and forward based Multiples</t>
  </si>
  <si>
    <t>1) How to select right multiple to compate (should we compare EV/Sales or EV/EBITDA or EV/EBIT or P/E)</t>
  </si>
  <si>
    <t>All industries which are in early growth stage and we have losses in most of the companies because of high costt of technology, customer acquisition etc,</t>
  </si>
  <si>
    <t>App based companies like Ola, Uber, Zomato</t>
  </si>
  <si>
    <t>This multiple has many limitations, such as</t>
  </si>
  <si>
    <t>1) It is impacted by Non operating items of Income as well as expense</t>
  </si>
  <si>
    <t>2) It may be distorted by differences in financial leverage amongst comp companies</t>
  </si>
  <si>
    <t>Companies having debt, may show lower PE making us to believe its underpriced</t>
  </si>
  <si>
    <t>Since net profit is taken, it considers both non operating and non recurring items</t>
  </si>
  <si>
    <t>This multiple represents better picture of comparison compared to EV/Sales  or P/E Multiples</t>
  </si>
  <si>
    <t>1) Compared to EV/Sales multiple, EV/EBIT multiple presents better picture of comparison as it captures profitability of the business</t>
  </si>
  <si>
    <t>2) EV/EBIT multiple focuses on core profit of business compared to P/E multiple which is impacted by both operating as well as non operating profits and expenses</t>
  </si>
  <si>
    <t>Even EV considers only operating items, as it excludes non operating investments and cash</t>
  </si>
  <si>
    <t>3) Not impacted by differences in financial leverage of comparable companies</t>
  </si>
  <si>
    <t>Most popularly used for profit making companies</t>
  </si>
  <si>
    <t>P/E multiple has special use for banking companies as in Banking industry , interest exp is one of the operating expense. Therefore, EBIT doesn't represent true picture of profitability of Banking companies. We can calculate profits only after deducting interest expense which is net income</t>
  </si>
  <si>
    <t>If D&amp;A expenses are not distorting EBIT of comp companies, EV/EBIT and EV/EBITDA will give almost same valuation.</t>
  </si>
  <si>
    <t>if presence of D&amp;A expenses is distorting picture of profitability of comp companies then EV/EBITDA multiple will give better comparison, especially in case of Capital intensive industries</t>
  </si>
  <si>
    <t>EV/EBITDAR</t>
  </si>
  <si>
    <t>EBITDAR represents Earnings before interest, tax ,D&amp;A and lease rental expenses</t>
  </si>
  <si>
    <t>This multiple has special use in case of aircraft industries where operating lease rental expenses could be substantial and EBITDA could present distorted picture of profitability on comparable basis due to difference in treatment of D&amp;A exp and rental exp in calculation of EBITDA, therefore for such industries we compare EBITDAR multiple to give equal treatment to their D&amp;A and rental exp.</t>
  </si>
  <si>
    <t>2) LTM Vs Forward Multiple</t>
  </si>
  <si>
    <t>Normally bankers prefer forward based multiples over LTM based multiples to compare current valuation in the market. The reason being current market price of a particular company is more influenced by what company is likely to deliver in near future than LTM performance, so we get better picture of comparison the basis of forward multiples than LTM multiples</t>
  </si>
  <si>
    <t>However if reliable estimates are not available, then we can give preference to LTM multiples over forward multiples</t>
  </si>
  <si>
    <t>Please note that under both LTM as well as forward multiples, we are comparing current market price of comp companies</t>
  </si>
  <si>
    <t>FY1 EV/EBITDA</t>
  </si>
  <si>
    <t>FY2 EV/EBITDA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</si>
</sst>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 #,##0.00_ ;_ * \-#,##0.00_ ;_ * &quot;-&quot;??_ ;_ @_ "/>
    <numFmt numFmtId="164" formatCode="_(* #,##0.00_);_(* \(#,##0.00\);_(* &quot;-&quot;??_);_(@_)"/>
    <numFmt numFmtId="165" formatCode="dd\ mmm\'yy"/>
    <numFmt numFmtId="166" formatCode="_(* #,##0.0_);_(* \(#,##0.0\);_(* &quot;-&quot;??_);_(@_)"/>
    <numFmt numFmtId="167" formatCode="_(* #,##0_);_(* \(#,##0\);_(* &quot;-&quot;??_);_(@_)"/>
    <numFmt numFmtId="168" formatCode="_ * #,##0.0_ ;_ * \-#,##0.0_ ;_ * &quot;-&quot;??_ ;_ @_ "/>
    <numFmt numFmtId="169" formatCode="0.0%"/>
    <numFmt numFmtId="170" formatCode="0.0&quot;x&quot;"/>
    <numFmt numFmtId="171" formatCode="0.000"/>
    <numFmt numFmtId="172" formatCode="0.0"/>
    <numFmt numFmtId="173" formatCode="0&quot;M&quot;"/>
    <numFmt numFmtId="174" formatCode="dd\ mmm\ yy"/>
    <numFmt numFmtId="175" formatCode="_(* #,##0.000_);_(* \(#,##0.000\);_(* &quot;-&quot;??_);_(@_)"/>
    <numFmt numFmtId="176" formatCode="_(* #,##0.00000_);_(* \(#,##0.00000\);_(* &quot;-&quot;??_);_(@_)"/>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8"/>
      <color theme="1"/>
      <name val="Gill Sans MT"/>
      <family val="2"/>
    </font>
    <font>
      <sz val="10"/>
      <color theme="1"/>
      <name val="Gill Sans MT"/>
      <family val="2"/>
    </font>
    <font>
      <i/>
      <sz val="10"/>
      <color indexed="8"/>
      <name val="Gill Sans MT"/>
      <family val="2"/>
    </font>
    <font>
      <i/>
      <sz val="10"/>
      <color theme="1"/>
      <name val="Gill Sans MT"/>
      <family val="2"/>
    </font>
    <font>
      <b/>
      <sz val="10"/>
      <color indexed="8"/>
      <name val="Gill Sans MT"/>
      <family val="2"/>
    </font>
    <font>
      <b/>
      <sz val="10"/>
      <color theme="1"/>
      <name val="Gill Sans MT"/>
      <family val="2"/>
    </font>
    <font>
      <sz val="11"/>
      <color theme="3"/>
      <name val="Calibri"/>
      <family val="2"/>
      <scheme val="minor"/>
    </font>
    <font>
      <b/>
      <sz val="16"/>
      <color theme="1"/>
      <name val="Calibri"/>
      <family val="2"/>
      <scheme val="minor"/>
    </font>
    <font>
      <i/>
      <sz val="11"/>
      <color theme="1"/>
      <name val="Calibri"/>
      <family val="2"/>
      <scheme val="minor"/>
    </font>
    <font>
      <sz val="11"/>
      <color theme="0"/>
      <name val="Calibri"/>
      <family val="2"/>
      <scheme val="minor"/>
    </font>
    <font>
      <b/>
      <sz val="9"/>
      <color indexed="81"/>
      <name val="Tahoma"/>
      <charset val="1"/>
    </font>
    <font>
      <sz val="9"/>
      <color indexed="81"/>
      <name val="Tahoma"/>
      <family val="2"/>
    </font>
    <font>
      <b/>
      <sz val="9"/>
      <color indexed="81"/>
      <name val="Tahoma"/>
      <family val="2"/>
    </font>
    <font>
      <sz val="11"/>
      <color rgb="FF262626"/>
      <name val="Arial"/>
      <family val="2"/>
    </font>
    <font>
      <sz val="11"/>
      <color theme="1"/>
      <name val="Gill Sans MT"/>
      <family val="2"/>
    </font>
    <font>
      <b/>
      <sz val="11"/>
      <color indexed="8"/>
      <name val="Gill Sans MT"/>
      <family val="2"/>
    </font>
  </fonts>
  <fills count="22">
    <fill>
      <patternFill patternType="none"/>
    </fill>
    <fill>
      <patternFill patternType="gray125"/>
    </fill>
    <fill>
      <patternFill patternType="solid">
        <fgColor theme="4"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CC29"/>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1" tint="0.34998626667073579"/>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E3F1FA"/>
        <bgColor indexed="64"/>
      </patternFill>
    </fill>
    <fill>
      <patternFill patternType="solid">
        <fgColor rgb="FFDEFEFE"/>
        <bgColor indexed="64"/>
      </patternFill>
    </fill>
    <fill>
      <patternFill patternType="solid">
        <fgColor theme="0"/>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theme="3"/>
      </top>
      <bottom/>
      <diagonal/>
    </border>
    <border>
      <left style="medium">
        <color indexed="64"/>
      </left>
      <right/>
      <top style="medium">
        <color theme="3"/>
      </top>
      <bottom/>
      <diagonal/>
    </border>
    <border>
      <left/>
      <right style="medium">
        <color indexed="64"/>
      </right>
      <top style="medium">
        <color theme="3"/>
      </top>
      <bottom/>
      <diagonal/>
    </border>
    <border>
      <left/>
      <right/>
      <top style="medium">
        <color theme="3"/>
      </top>
      <bottom style="medium">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rgb="FFEFEFEF"/>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18">
    <xf numFmtId="0" fontId="0" fillId="0" borderId="0" xfId="0"/>
    <xf numFmtId="0" fontId="3" fillId="2" borderId="0" xfId="0" applyFont="1" applyFill="1"/>
    <xf numFmtId="0" fontId="4" fillId="2" borderId="0" xfId="0" applyFont="1" applyFill="1"/>
    <xf numFmtId="0" fontId="4" fillId="0" borderId="0" xfId="0" applyFont="1"/>
    <xf numFmtId="0" fontId="4" fillId="2" borderId="1" xfId="0" applyFont="1" applyFill="1" applyBorder="1"/>
    <xf numFmtId="0" fontId="4" fillId="2" borderId="2" xfId="0" applyFont="1" applyFill="1" applyBorder="1"/>
    <xf numFmtId="0" fontId="4" fillId="2" borderId="3" xfId="0" applyFont="1" applyFill="1" applyBorder="1"/>
    <xf numFmtId="0" fontId="4" fillId="0" borderId="4" xfId="0" applyFont="1" applyBorder="1"/>
    <xf numFmtId="0" fontId="4" fillId="3" borderId="5" xfId="0" applyFont="1" applyFill="1" applyBorder="1"/>
    <xf numFmtId="0" fontId="4" fillId="2" borderId="6" xfId="0" applyFont="1" applyFill="1" applyBorder="1"/>
    <xf numFmtId="0" fontId="4" fillId="2" borderId="7" xfId="0" applyFont="1" applyFill="1" applyBorder="1"/>
    <xf numFmtId="0" fontId="4" fillId="2" borderId="8" xfId="0" applyFont="1" applyFill="1" applyBorder="1"/>
    <xf numFmtId="0" fontId="4" fillId="3" borderId="5" xfId="0" applyFont="1" applyFill="1" applyBorder="1" applyAlignment="1">
      <alignment horizontal="right"/>
    </xf>
    <xf numFmtId="0" fontId="4" fillId="0" borderId="0" xfId="0" applyFont="1" applyAlignment="1">
      <alignment horizontal="right"/>
    </xf>
    <xf numFmtId="0" fontId="4" fillId="0" borderId="5" xfId="0" applyFont="1" applyBorder="1" applyAlignment="1">
      <alignment horizontal="right"/>
    </xf>
    <xf numFmtId="165" fontId="4" fillId="3" borderId="5" xfId="0" applyNumberFormat="1" applyFont="1" applyFill="1" applyBorder="1"/>
    <xf numFmtId="0" fontId="4" fillId="0" borderId="11" xfId="0" applyFont="1" applyBorder="1" applyAlignment="1">
      <alignment horizontal="right"/>
    </xf>
    <xf numFmtId="0" fontId="4" fillId="0" borderId="11" xfId="0" applyFont="1" applyBorder="1"/>
    <xf numFmtId="0" fontId="4" fillId="0" borderId="12" xfId="0" applyFont="1" applyBorder="1" applyAlignment="1">
      <alignment horizontal="right"/>
    </xf>
    <xf numFmtId="166" fontId="4" fillId="3" borderId="0" xfId="1" applyNumberFormat="1" applyFont="1" applyFill="1"/>
    <xf numFmtId="166" fontId="4" fillId="4" borderId="0" xfId="1" applyNumberFormat="1" applyFont="1" applyFill="1" applyAlignment="1">
      <alignment horizontal="center"/>
    </xf>
    <xf numFmtId="166" fontId="4" fillId="4" borderId="0" xfId="1" applyNumberFormat="1" applyFont="1" applyFill="1"/>
    <xf numFmtId="167" fontId="4" fillId="4" borderId="0" xfId="1" applyNumberFormat="1" applyFont="1" applyFill="1"/>
    <xf numFmtId="166" fontId="4" fillId="4" borderId="5" xfId="1" applyNumberFormat="1" applyFont="1" applyFill="1" applyBorder="1"/>
    <xf numFmtId="0" fontId="4" fillId="0" borderId="10" xfId="0" applyFont="1" applyBorder="1"/>
    <xf numFmtId="9" fontId="4" fillId="3" borderId="12" xfId="2" applyFont="1" applyFill="1" applyBorder="1"/>
    <xf numFmtId="0" fontId="4" fillId="2" borderId="7" xfId="0" applyFont="1" applyFill="1" applyBorder="1" applyAlignment="1">
      <alignment horizontal="right"/>
    </xf>
    <xf numFmtId="167" fontId="4" fillId="3" borderId="0" xfId="1" applyNumberFormat="1" applyFont="1" applyFill="1"/>
    <xf numFmtId="0" fontId="4" fillId="0" borderId="5" xfId="0" applyFont="1" applyBorder="1"/>
    <xf numFmtId="167" fontId="4" fillId="0" borderId="5" xfId="1" applyNumberFormat="1" applyFont="1" applyBorder="1"/>
    <xf numFmtId="167" fontId="4" fillId="4" borderId="5" xfId="1" applyNumberFormat="1" applyFont="1" applyFill="1" applyBorder="1"/>
    <xf numFmtId="167" fontId="4" fillId="0" borderId="0" xfId="1" applyNumberFormat="1" applyFont="1"/>
    <xf numFmtId="167" fontId="4" fillId="3" borderId="5" xfId="1" applyNumberFormat="1" applyFont="1" applyFill="1" applyBorder="1"/>
    <xf numFmtId="0" fontId="4" fillId="0" borderId="4" xfId="0" quotePrefix="1" applyFont="1" applyBorder="1"/>
    <xf numFmtId="166" fontId="4" fillId="4" borderId="13" xfId="1" applyNumberFormat="1" applyFont="1" applyFill="1" applyBorder="1"/>
    <xf numFmtId="167" fontId="5" fillId="3" borderId="0" xfId="1" applyNumberFormat="1" applyFont="1" applyFill="1"/>
    <xf numFmtId="0" fontId="5" fillId="0" borderId="0" xfId="0" applyFont="1"/>
    <xf numFmtId="0" fontId="5" fillId="0" borderId="1" xfId="0" applyFont="1" applyBorder="1"/>
    <xf numFmtId="0" fontId="5" fillId="0" borderId="2" xfId="0" applyFont="1" applyBorder="1"/>
    <xf numFmtId="0" fontId="5" fillId="0" borderId="4" xfId="0" applyFont="1" applyBorder="1"/>
    <xf numFmtId="0" fontId="5" fillId="0" borderId="0" xfId="0" applyFont="1" applyAlignment="1">
      <alignment horizontal="right"/>
    </xf>
    <xf numFmtId="0" fontId="6" fillId="0" borderId="0" xfId="0" applyFont="1"/>
    <xf numFmtId="164" fontId="4" fillId="3" borderId="0" xfId="1" applyFont="1" applyFill="1"/>
    <xf numFmtId="164" fontId="4" fillId="4" borderId="5" xfId="1" applyFont="1" applyFill="1" applyBorder="1"/>
    <xf numFmtId="167" fontId="4" fillId="0" borderId="11" xfId="1" applyNumberFormat="1" applyFont="1" applyBorder="1"/>
    <xf numFmtId="164" fontId="4" fillId="4" borderId="13" xfId="1" applyFont="1" applyFill="1" applyBorder="1"/>
    <xf numFmtId="0" fontId="7" fillId="0" borderId="14" xfId="0" applyFont="1" applyBorder="1"/>
    <xf numFmtId="0" fontId="7" fillId="0" borderId="15" xfId="0" applyFont="1" applyBorder="1"/>
    <xf numFmtId="167" fontId="7" fillId="0" borderId="15" xfId="1" applyNumberFormat="1" applyFont="1" applyBorder="1"/>
    <xf numFmtId="0" fontId="7" fillId="0" borderId="0" xfId="0" applyFont="1"/>
    <xf numFmtId="167" fontId="7" fillId="0" borderId="0" xfId="1" applyNumberFormat="1" applyFont="1"/>
    <xf numFmtId="17" fontId="4" fillId="0" borderId="0" xfId="0" applyNumberFormat="1" applyFont="1"/>
    <xf numFmtId="0" fontId="4" fillId="2" borderId="0" xfId="0" applyFont="1" applyFill="1" applyAlignment="1">
      <alignment horizontal="right"/>
    </xf>
    <xf numFmtId="0" fontId="4" fillId="2" borderId="0" xfId="0" applyFont="1" applyFill="1" applyAlignment="1">
      <alignment horizontal="center"/>
    </xf>
    <xf numFmtId="167" fontId="4" fillId="3" borderId="0" xfId="1" applyNumberFormat="1" applyFont="1" applyFill="1" applyAlignment="1">
      <alignment wrapText="1"/>
    </xf>
    <xf numFmtId="167" fontId="7" fillId="4" borderId="0" xfId="1" applyNumberFormat="1" applyFont="1" applyFill="1"/>
    <xf numFmtId="0" fontId="8" fillId="0" borderId="0" xfId="0" applyFont="1"/>
    <xf numFmtId="167" fontId="4" fillId="0" borderId="0" xfId="0" applyNumberFormat="1" applyFont="1"/>
    <xf numFmtId="164" fontId="7" fillId="4" borderId="0" xfId="1" applyFont="1" applyFill="1"/>
    <xf numFmtId="0" fontId="0" fillId="4" borderId="0" xfId="0" applyFill="1"/>
    <xf numFmtId="0" fontId="0" fillId="5" borderId="0" xfId="0" applyFill="1"/>
    <xf numFmtId="0" fontId="0" fillId="0" borderId="0" xfId="0" applyAlignment="1">
      <alignment horizontal="center" wrapText="1"/>
    </xf>
    <xf numFmtId="167" fontId="9" fillId="6" borderId="0" xfId="1" applyNumberFormat="1" applyFont="1" applyFill="1"/>
    <xf numFmtId="170" fontId="9" fillId="6" borderId="0" xfId="0" applyNumberFormat="1" applyFont="1" applyFill="1" applyAlignment="1">
      <alignment horizontal="center" vertical="center"/>
    </xf>
    <xf numFmtId="167" fontId="1" fillId="4" borderId="0" xfId="1" applyNumberFormat="1" applyFill="1"/>
    <xf numFmtId="0" fontId="9" fillId="6" borderId="0" xfId="0" applyFont="1" applyFill="1"/>
    <xf numFmtId="167" fontId="1" fillId="0" borderId="0" xfId="1" applyNumberFormat="1"/>
    <xf numFmtId="2" fontId="0" fillId="4" borderId="0" xfId="0" applyNumberFormat="1" applyFill="1"/>
    <xf numFmtId="168" fontId="0" fillId="0" borderId="0" xfId="0" applyNumberFormat="1"/>
    <xf numFmtId="168" fontId="0" fillId="6" borderId="6" xfId="0" applyNumberFormat="1" applyFill="1" applyBorder="1"/>
    <xf numFmtId="168" fontId="0" fillId="6" borderId="8" xfId="0" applyNumberFormat="1" applyFill="1" applyBorder="1"/>
    <xf numFmtId="0" fontId="2" fillId="7" borderId="9" xfId="0" applyFont="1" applyFill="1" applyBorder="1"/>
    <xf numFmtId="166" fontId="9" fillId="6" borderId="0" xfId="1" applyNumberFormat="1" applyFont="1" applyFill="1"/>
    <xf numFmtId="0" fontId="10" fillId="0" borderId="0" xfId="0" applyFont="1"/>
    <xf numFmtId="0" fontId="0" fillId="6" borderId="0" xfId="0" applyFill="1"/>
    <xf numFmtId="9" fontId="0" fillId="0" borderId="0" xfId="0" applyNumberFormat="1"/>
    <xf numFmtId="0" fontId="0" fillId="0" borderId="0" xfId="0" applyAlignment="1">
      <alignment horizontal="center" vertical="center"/>
    </xf>
    <xf numFmtId="0" fontId="0" fillId="4" borderId="0" xfId="0" applyFill="1" applyAlignment="1">
      <alignment horizontal="center"/>
    </xf>
    <xf numFmtId="0" fontId="0" fillId="4" borderId="0" xfId="0" applyFill="1" applyAlignment="1">
      <alignment horizontal="left"/>
    </xf>
    <xf numFmtId="171" fontId="9" fillId="6" borderId="0" xfId="0" applyNumberFormat="1" applyFont="1" applyFill="1"/>
    <xf numFmtId="170" fontId="1" fillId="0" borderId="0" xfId="1" applyNumberFormat="1"/>
    <xf numFmtId="169" fontId="1" fillId="0" borderId="0" xfId="2" applyNumberFormat="1"/>
    <xf numFmtId="9" fontId="1" fillId="0" borderId="0" xfId="2"/>
    <xf numFmtId="172" fontId="1" fillId="0" borderId="0" xfId="1" applyNumberFormat="1"/>
    <xf numFmtId="170" fontId="1" fillId="0" borderId="0" xfId="1" applyNumberFormat="1" applyAlignment="1">
      <alignment horizontal="center"/>
    </xf>
    <xf numFmtId="170" fontId="0" fillId="0" borderId="0" xfId="0" applyNumberFormat="1" applyAlignment="1">
      <alignment horizontal="center"/>
    </xf>
    <xf numFmtId="43" fontId="0" fillId="0" borderId="0" xfId="0" applyNumberFormat="1"/>
    <xf numFmtId="1" fontId="1" fillId="0" borderId="0" xfId="1" applyNumberFormat="1"/>
    <xf numFmtId="167" fontId="1" fillId="0" borderId="0" xfId="1" applyNumberFormat="1" applyAlignment="1">
      <alignment horizontal="center"/>
    </xf>
    <xf numFmtId="0" fontId="11" fillId="0" borderId="0" xfId="0" applyFont="1" applyAlignment="1">
      <alignment horizontal="centerContinuous"/>
    </xf>
    <xf numFmtId="170" fontId="0" fillId="0" borderId="0" xfId="0" applyNumberFormat="1" applyAlignment="1">
      <alignment horizontal="center" vertical="center"/>
    </xf>
    <xf numFmtId="10" fontId="1" fillId="0" borderId="0" xfId="2" applyNumberFormat="1"/>
    <xf numFmtId="167" fontId="0" fillId="0" borderId="0" xfId="0" applyNumberFormat="1"/>
    <xf numFmtId="0" fontId="11" fillId="0" borderId="0" xfId="0" applyFont="1" applyAlignment="1">
      <alignment horizontal="center"/>
    </xf>
    <xf numFmtId="15" fontId="4" fillId="3" borderId="5" xfId="0" applyNumberFormat="1" applyFont="1" applyFill="1" applyBorder="1"/>
    <xf numFmtId="0" fontId="0" fillId="0" borderId="16" xfId="0" applyBorder="1"/>
    <xf numFmtId="0" fontId="2" fillId="10" borderId="16" xfId="0" applyFont="1" applyFill="1" applyBorder="1"/>
    <xf numFmtId="0" fontId="0" fillId="9" borderId="16" xfId="0" applyFill="1" applyBorder="1"/>
    <xf numFmtId="0" fontId="0" fillId="0" borderId="16" xfId="0" applyBorder="1" applyAlignment="1">
      <alignment horizontal="left" indent="2"/>
    </xf>
    <xf numFmtId="0" fontId="0" fillId="0" borderId="16" xfId="0" applyBorder="1" applyAlignment="1">
      <alignment wrapText="1"/>
    </xf>
    <xf numFmtId="0" fontId="0" fillId="9" borderId="16" xfId="0" applyFill="1" applyBorder="1" applyAlignment="1">
      <alignment vertical="center"/>
    </xf>
    <xf numFmtId="0" fontId="12" fillId="11" borderId="16" xfId="0" applyFont="1" applyFill="1" applyBorder="1"/>
    <xf numFmtId="0" fontId="0" fillId="0" borderId="16" xfId="0" applyBorder="1" applyAlignment="1">
      <alignment vertical="center" wrapText="1"/>
    </xf>
    <xf numFmtId="0" fontId="0" fillId="0" borderId="16" xfId="0" applyBorder="1" applyAlignment="1">
      <alignment vertical="center"/>
    </xf>
    <xf numFmtId="170" fontId="1" fillId="8" borderId="20" xfId="1" applyNumberFormat="1" applyFill="1" applyBorder="1" applyAlignment="1">
      <alignment horizontal="center"/>
    </xf>
    <xf numFmtId="169" fontId="1" fillId="8" borderId="20" xfId="2" applyNumberFormat="1" applyFill="1" applyBorder="1" applyAlignment="1">
      <alignment horizontal="center"/>
    </xf>
    <xf numFmtId="170" fontId="1" fillId="0" borderId="6" xfId="1" applyNumberFormat="1" applyBorder="1" applyAlignment="1">
      <alignment horizontal="center"/>
    </xf>
    <xf numFmtId="9" fontId="1" fillId="0" borderId="8" xfId="2" applyBorder="1"/>
    <xf numFmtId="170" fontId="1" fillId="0" borderId="10" xfId="1" applyNumberFormat="1" applyBorder="1" applyAlignment="1">
      <alignment horizontal="center"/>
    </xf>
    <xf numFmtId="170" fontId="1" fillId="0" borderId="12" xfId="1" applyNumberFormat="1" applyBorder="1" applyAlignment="1">
      <alignment horizontal="center"/>
    </xf>
    <xf numFmtId="0" fontId="0" fillId="9" borderId="16" xfId="0" applyFill="1" applyBorder="1" applyAlignment="1">
      <alignment horizontal="left" vertical="center" wrapText="1"/>
    </xf>
    <xf numFmtId="0" fontId="2" fillId="0" borderId="16" xfId="0" applyFont="1" applyBorder="1" applyAlignment="1">
      <alignment wrapText="1"/>
    </xf>
    <xf numFmtId="170" fontId="1" fillId="0" borderId="21" xfId="1" applyNumberFormat="1" applyBorder="1" applyAlignment="1">
      <alignment horizontal="center"/>
    </xf>
    <xf numFmtId="9" fontId="1" fillId="0" borderId="22" xfId="2" applyBorder="1"/>
    <xf numFmtId="170" fontId="1" fillId="8" borderId="23" xfId="1" applyNumberFormat="1" applyFill="1" applyBorder="1" applyAlignment="1">
      <alignment horizontal="center"/>
    </xf>
    <xf numFmtId="169" fontId="1" fillId="8" borderId="23" xfId="2" applyNumberFormat="1" applyFill="1" applyBorder="1" applyAlignment="1">
      <alignment horizontal="center"/>
    </xf>
    <xf numFmtId="167" fontId="4" fillId="0" borderId="0" xfId="1" applyNumberFormat="1" applyFont="1" applyFill="1" applyBorder="1"/>
    <xf numFmtId="164" fontId="4" fillId="0" borderId="0" xfId="1" applyFont="1" applyFill="1" applyBorder="1"/>
    <xf numFmtId="166" fontId="4" fillId="3" borderId="5" xfId="1" applyNumberFormat="1" applyFont="1" applyFill="1" applyBorder="1"/>
    <xf numFmtId="0" fontId="4" fillId="0" borderId="9" xfId="0" applyFont="1" applyBorder="1" applyAlignment="1">
      <alignment horizontal="center"/>
    </xf>
    <xf numFmtId="0" fontId="4" fillId="0" borderId="0" xfId="0" applyFont="1" applyAlignment="1">
      <alignment horizontal="center"/>
    </xf>
    <xf numFmtId="165" fontId="4" fillId="0" borderId="0" xfId="0" applyNumberFormat="1" applyFont="1"/>
    <xf numFmtId="173" fontId="4" fillId="0" borderId="0" xfId="0" applyNumberFormat="1" applyFont="1" applyAlignment="1">
      <alignment horizontal="center"/>
    </xf>
    <xf numFmtId="43" fontId="4" fillId="0" borderId="0" xfId="0" applyNumberFormat="1" applyFont="1"/>
    <xf numFmtId="164" fontId="7" fillId="0" borderId="0" xfId="1" applyFont="1"/>
    <xf numFmtId="15" fontId="4" fillId="12" borderId="16" xfId="0" applyNumberFormat="1" applyFont="1" applyFill="1" applyBorder="1"/>
    <xf numFmtId="15" fontId="4" fillId="13" borderId="16" xfId="0" applyNumberFormat="1" applyFont="1" applyFill="1" applyBorder="1"/>
    <xf numFmtId="15" fontId="4" fillId="13" borderId="24" xfId="0" applyNumberFormat="1" applyFont="1" applyFill="1" applyBorder="1"/>
    <xf numFmtId="166" fontId="4" fillId="3" borderId="0" xfId="1" applyNumberFormat="1" applyFont="1" applyFill="1" applyBorder="1"/>
    <xf numFmtId="0" fontId="0" fillId="0" borderId="1" xfId="0" applyBorder="1"/>
    <xf numFmtId="0" fontId="0" fillId="0" borderId="10" xfId="0" applyBorder="1"/>
    <xf numFmtId="0" fontId="0" fillId="0" borderId="4" xfId="0" applyBorder="1"/>
    <xf numFmtId="166" fontId="4" fillId="3" borderId="2" xfId="1" applyNumberFormat="1" applyFont="1" applyFill="1" applyBorder="1"/>
    <xf numFmtId="0" fontId="5" fillId="0" borderId="0" xfId="0" applyFont="1" applyAlignment="1">
      <alignment horizontal="center" wrapText="1"/>
    </xf>
    <xf numFmtId="0" fontId="5" fillId="0" borderId="5" xfId="0" applyFont="1" applyBorder="1" applyAlignment="1">
      <alignment horizontal="center" wrapText="1"/>
    </xf>
    <xf numFmtId="167" fontId="4" fillId="9" borderId="0" xfId="1" applyNumberFormat="1" applyFont="1" applyFill="1"/>
    <xf numFmtId="167" fontId="4" fillId="0" borderId="0" xfId="1" applyNumberFormat="1" applyFont="1" applyFill="1" applyAlignment="1">
      <alignment horizontal="center"/>
    </xf>
    <xf numFmtId="167" fontId="4" fillId="0" borderId="0" xfId="1" applyNumberFormat="1" applyFont="1" applyFill="1"/>
    <xf numFmtId="167" fontId="4" fillId="0" borderId="5" xfId="1" applyNumberFormat="1" applyFont="1" applyFill="1" applyBorder="1"/>
    <xf numFmtId="167" fontId="7" fillId="4" borderId="25" xfId="1" applyNumberFormat="1" applyFont="1" applyFill="1" applyBorder="1"/>
    <xf numFmtId="168" fontId="4" fillId="4" borderId="16" xfId="1" applyNumberFormat="1" applyFont="1" applyFill="1" applyBorder="1"/>
    <xf numFmtId="166" fontId="4" fillId="9" borderId="0" xfId="1" applyNumberFormat="1" applyFont="1" applyFill="1" applyBorder="1" applyAlignment="1">
      <alignment horizontal="center"/>
    </xf>
    <xf numFmtId="167" fontId="8" fillId="9" borderId="0" xfId="1" applyNumberFormat="1" applyFont="1" applyFill="1"/>
    <xf numFmtId="167" fontId="7" fillId="9" borderId="0" xfId="1" applyNumberFormat="1" applyFont="1" applyFill="1"/>
    <xf numFmtId="164" fontId="7" fillId="9" borderId="0" xfId="1" applyFont="1" applyFill="1"/>
    <xf numFmtId="169" fontId="7" fillId="4" borderId="0" xfId="2" applyNumberFormat="1" applyFont="1" applyFill="1"/>
    <xf numFmtId="0" fontId="2" fillId="0" borderId="0" xfId="0" applyFont="1"/>
    <xf numFmtId="0" fontId="12" fillId="14" borderId="0" xfId="0" applyFont="1" applyFill="1" applyAlignment="1">
      <alignment horizontal="center"/>
    </xf>
    <xf numFmtId="0" fontId="5" fillId="0" borderId="0" xfId="0" applyFont="1" applyAlignment="1">
      <alignment horizontal="center" wrapText="1"/>
    </xf>
    <xf numFmtId="0" fontId="5" fillId="0" borderId="5" xfId="0" applyFont="1" applyBorder="1" applyAlignment="1">
      <alignment horizontal="center" wrapText="1"/>
    </xf>
    <xf numFmtId="0" fontId="0" fillId="15" borderId="0" xfId="0" applyFill="1"/>
    <xf numFmtId="174" fontId="4" fillId="3" borderId="5" xfId="0" applyNumberFormat="1" applyFont="1" applyFill="1" applyBorder="1"/>
    <xf numFmtId="169" fontId="4" fillId="3" borderId="12" xfId="2" applyNumberFormat="1" applyFont="1" applyFill="1" applyBorder="1"/>
    <xf numFmtId="3" fontId="0" fillId="0" borderId="0" xfId="0" applyNumberFormat="1"/>
    <xf numFmtId="0" fontId="4" fillId="16" borderId="0" xfId="0" applyFont="1" applyFill="1"/>
    <xf numFmtId="176" fontId="4" fillId="3" borderId="5" xfId="1" applyNumberFormat="1" applyFont="1" applyFill="1" applyBorder="1"/>
    <xf numFmtId="164" fontId="4" fillId="9" borderId="0" xfId="1" applyNumberFormat="1" applyFont="1" applyFill="1"/>
    <xf numFmtId="4" fontId="0" fillId="0" borderId="0" xfId="0" applyNumberFormat="1"/>
    <xf numFmtId="0" fontId="4" fillId="0" borderId="0" xfId="0" applyFont="1" applyBorder="1" applyAlignment="1">
      <alignment horizontal="right"/>
    </xf>
    <xf numFmtId="0" fontId="4" fillId="0" borderId="0" xfId="0" applyFont="1" applyBorder="1"/>
    <xf numFmtId="0" fontId="4" fillId="0" borderId="0" xfId="0" applyFont="1" applyBorder="1" applyAlignment="1">
      <alignment horizontal="center"/>
    </xf>
    <xf numFmtId="0" fontId="4" fillId="0" borderId="26" xfId="0" applyFont="1" applyBorder="1" applyAlignment="1">
      <alignment horizontal="right"/>
    </xf>
    <xf numFmtId="0" fontId="4" fillId="0" borderId="27" xfId="0" applyFont="1" applyBorder="1" applyAlignment="1">
      <alignment horizontal="right"/>
    </xf>
    <xf numFmtId="0" fontId="4" fillId="0" borderId="27" xfId="0" applyFont="1" applyBorder="1"/>
    <xf numFmtId="0" fontId="4" fillId="0" borderId="28" xfId="0" applyFont="1" applyBorder="1" applyAlignment="1">
      <alignment horizontal="center"/>
    </xf>
    <xf numFmtId="0" fontId="4" fillId="0" borderId="29" xfId="0" applyFont="1" applyBorder="1"/>
    <xf numFmtId="0" fontId="4" fillId="0" borderId="30" xfId="0" applyFont="1" applyBorder="1" applyAlignment="1">
      <alignment horizontal="center"/>
    </xf>
    <xf numFmtId="0" fontId="4" fillId="0" borderId="31" xfId="0" applyFont="1" applyBorder="1"/>
    <xf numFmtId="0" fontId="4" fillId="0" borderId="32" xfId="0" applyFont="1" applyBorder="1"/>
    <xf numFmtId="166" fontId="4" fillId="4" borderId="24" xfId="1" applyNumberFormat="1" applyFont="1" applyFill="1" applyBorder="1"/>
    <xf numFmtId="175" fontId="4" fillId="9" borderId="0" xfId="1" applyNumberFormat="1" applyFont="1" applyFill="1" applyBorder="1"/>
    <xf numFmtId="176" fontId="4" fillId="9" borderId="0" xfId="1" applyNumberFormat="1" applyFont="1" applyFill="1" applyBorder="1"/>
    <xf numFmtId="176" fontId="4" fillId="4" borderId="30" xfId="1" applyNumberFormat="1" applyFont="1" applyFill="1" applyBorder="1"/>
    <xf numFmtId="164" fontId="4" fillId="4" borderId="24" xfId="1" applyNumberFormat="1" applyFont="1" applyFill="1" applyBorder="1"/>
    <xf numFmtId="164" fontId="4" fillId="4" borderId="13" xfId="1" applyNumberFormat="1" applyFont="1" applyFill="1" applyBorder="1"/>
    <xf numFmtId="175" fontId="4" fillId="9" borderId="0" xfId="1" applyNumberFormat="1" applyFont="1" applyFill="1"/>
    <xf numFmtId="0" fontId="0" fillId="5" borderId="0" xfId="0" applyFill="1" applyAlignment="1">
      <alignment horizontal="center" wrapText="1"/>
    </xf>
    <xf numFmtId="172" fontId="4" fillId="0" borderId="0" xfId="0" applyNumberFormat="1" applyFont="1"/>
    <xf numFmtId="0" fontId="0" fillId="4" borderId="9" xfId="0" applyFill="1" applyBorder="1" applyAlignment="1">
      <alignment horizontal="center"/>
    </xf>
    <xf numFmtId="0" fontId="0" fillId="5" borderId="0" xfId="0" applyFill="1" applyAlignment="1">
      <alignment horizontal="center" wrapText="1"/>
    </xf>
    <xf numFmtId="0" fontId="5" fillId="0" borderId="2" xfId="0" applyFont="1" applyBorder="1" applyAlignment="1">
      <alignment horizontal="center" wrapText="1"/>
    </xf>
    <xf numFmtId="0" fontId="5" fillId="0" borderId="0" xfId="0" applyFont="1" applyAlignment="1">
      <alignment horizontal="center"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0" fillId="5" borderId="9" xfId="0"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0" fillId="4" borderId="9" xfId="0" applyFill="1" applyBorder="1" applyAlignment="1">
      <alignment horizontal="center" wrapText="1"/>
    </xf>
    <xf numFmtId="0" fontId="0" fillId="4" borderId="0" xfId="0" applyFill="1" applyAlignment="1">
      <alignment horizontal="center" wrapText="1"/>
    </xf>
    <xf numFmtId="0" fontId="4" fillId="12" borderId="0" xfId="0" applyFont="1" applyFill="1" applyAlignment="1">
      <alignment horizontal="center"/>
    </xf>
    <xf numFmtId="0" fontId="4" fillId="13" borderId="0" xfId="0" applyFont="1" applyFill="1" applyAlignment="1">
      <alignment horizontal="center"/>
    </xf>
    <xf numFmtId="0" fontId="4" fillId="2" borderId="1" xfId="0" applyFont="1" applyFill="1" applyBorder="1" applyAlignment="1">
      <alignment horizontal="left"/>
    </xf>
    <xf numFmtId="0" fontId="4" fillId="2" borderId="2" xfId="0" applyFont="1" applyFill="1" applyBorder="1" applyAlignment="1">
      <alignment horizontal="left"/>
    </xf>
    <xf numFmtId="0" fontId="4" fillId="2" borderId="3" xfId="0" applyFont="1" applyFill="1" applyBorder="1" applyAlignment="1">
      <alignment horizontal="left"/>
    </xf>
    <xf numFmtId="0" fontId="4" fillId="0" borderId="27" xfId="0" applyFont="1" applyBorder="1" applyAlignment="1">
      <alignment horizontal="center" wrapText="1"/>
    </xf>
    <xf numFmtId="0" fontId="4" fillId="0" borderId="0" xfId="0" applyFont="1" applyBorder="1" applyAlignment="1">
      <alignment horizontal="center" wrapText="1"/>
    </xf>
    <xf numFmtId="0" fontId="4" fillId="0" borderId="27" xfId="0" applyFont="1" applyBorder="1" applyAlignment="1">
      <alignment horizontal="center"/>
    </xf>
    <xf numFmtId="0" fontId="0" fillId="0" borderId="17" xfId="0" applyBorder="1"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170" fontId="0" fillId="0" borderId="0" xfId="0" applyNumberFormat="1"/>
    <xf numFmtId="170" fontId="0" fillId="17" borderId="0" xfId="0" applyNumberFormat="1" applyFill="1"/>
    <xf numFmtId="170" fontId="0" fillId="18" borderId="0" xfId="0" applyNumberFormat="1" applyFill="1"/>
    <xf numFmtId="3" fontId="16" fillId="19" borderId="33" xfId="0" applyNumberFormat="1" applyFont="1" applyFill="1" applyBorder="1" applyAlignment="1">
      <alignment horizontal="right" vertical="center"/>
    </xf>
    <xf numFmtId="0" fontId="17" fillId="0" borderId="0" xfId="0" applyFont="1"/>
    <xf numFmtId="0" fontId="18" fillId="0" borderId="0" xfId="0" applyFont="1"/>
    <xf numFmtId="0" fontId="16" fillId="19" borderId="33" xfId="0" applyFont="1" applyFill="1" applyBorder="1" applyAlignment="1">
      <alignment horizontal="right" vertical="center"/>
    </xf>
    <xf numFmtId="0" fontId="16" fillId="20" borderId="33" xfId="0" applyFont="1" applyFill="1" applyBorder="1" applyAlignment="1">
      <alignment horizontal="right" vertical="center"/>
    </xf>
    <xf numFmtId="0" fontId="11" fillId="0" borderId="0" xfId="0" applyFont="1"/>
    <xf numFmtId="0" fontId="11" fillId="18" borderId="0" xfId="0" applyFont="1" applyFill="1" applyAlignment="1">
      <alignment horizontal="center" wrapText="1"/>
    </xf>
    <xf numFmtId="0" fontId="11" fillId="21" borderId="0" xfId="0" applyFont="1" applyFill="1" applyAlignment="1">
      <alignment horizontal="center" wrapText="1"/>
    </xf>
    <xf numFmtId="0" fontId="0" fillId="21" borderId="0" xfId="0" applyFill="1"/>
    <xf numFmtId="0" fontId="0" fillId="0" borderId="0" xfId="0" applyAlignment="1">
      <alignment horizontal="center" wrapText="1"/>
    </xf>
    <xf numFmtId="0" fontId="0" fillId="18" borderId="0" xfId="0" applyFill="1" applyAlignment="1">
      <alignment horizont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Drop" dropStyle="combo" dx="31" fmlaLink="$H$20" fmlaRange="$O$20:$O$21" noThreeD="1" sel="2" val="0"/>
</file>

<file path=xl/ctrlProps/ctrlProp2.xml><?xml version="1.0" encoding="utf-8"?>
<formControlPr xmlns="http://schemas.microsoft.com/office/spreadsheetml/2009/9/main" objectType="Drop" dropStyle="combo" dx="31" fmlaLink="$H$20" fmlaRange="$O$20:$O$21" noThreeD="1" sel="2" val="0"/>
</file>

<file path=xl/ctrlProps/ctrlProp3.xml><?xml version="1.0" encoding="utf-8"?>
<formControlPr xmlns="http://schemas.microsoft.com/office/spreadsheetml/2009/9/main" objectType="Drop" dropStyle="combo" dx="31" fmlaLink="$H$20" fmlaRange="$O$20:$O$21" noThreeD="1" sel="2" val="0"/>
</file>

<file path=xl/ctrlProps/ctrlProp4.xml><?xml version="1.0" encoding="utf-8"?>
<formControlPr xmlns="http://schemas.microsoft.com/office/spreadsheetml/2009/9/main" objectType="Drop" dropStyle="combo" dx="31" fmlaLink="$H$20" fmlaRange="$O$20:$O$21" noThreeD="1" sel="2" val="0"/>
</file>

<file path=xl/ctrlProps/ctrlProp5.xml><?xml version="1.0" encoding="utf-8"?>
<formControlPr xmlns="http://schemas.microsoft.com/office/spreadsheetml/2009/9/main" objectType="Drop" dropStyle="combo" dx="31" fmlaLink="$H$20" fmlaRange="$O$20:$O$21" noThreeD="1" sel="2" val="0"/>
</file>

<file path=xl/drawings/_rels/drawing1.xml.rels><?xml version="1.0" encoding="UTF-8" standalone="yes"?>
<Relationships xmlns="http://schemas.openxmlformats.org/package/2006/relationships"><Relationship Id="rId8" Type="http://schemas.openxmlformats.org/officeDocument/2006/relationships/image" Target="../media/image260.png"/><Relationship Id="rId13" Type="http://schemas.openxmlformats.org/officeDocument/2006/relationships/customXml" Target="../ink/ink7.xml"/><Relationship Id="rId18" Type="http://schemas.openxmlformats.org/officeDocument/2006/relationships/image" Target="../media/image2101.png"/><Relationship Id="rId3" Type="http://schemas.openxmlformats.org/officeDocument/2006/relationships/customXml" Target="../ink/ink2.xml"/><Relationship Id="rId21" Type="http://schemas.openxmlformats.org/officeDocument/2006/relationships/customXml" Target="../ink/ink11.xml"/><Relationship Id="rId7" Type="http://schemas.openxmlformats.org/officeDocument/2006/relationships/customXml" Target="../ink/ink4.xml"/><Relationship Id="rId12" Type="http://schemas.openxmlformats.org/officeDocument/2006/relationships/image" Target="../media/image2100.png"/><Relationship Id="rId17" Type="http://schemas.openxmlformats.org/officeDocument/2006/relationships/customXml" Target="../ink/ink9.xml"/><Relationship Id="rId2" Type="http://schemas.openxmlformats.org/officeDocument/2006/relationships/image" Target="../media/image138.png"/><Relationship Id="rId16" Type="http://schemas.openxmlformats.org/officeDocument/2006/relationships/image" Target="../media/image2600.png"/><Relationship Id="rId20" Type="http://schemas.openxmlformats.org/officeDocument/2006/relationships/image" Target="../media/image2601.png"/><Relationship Id="rId1" Type="http://schemas.openxmlformats.org/officeDocument/2006/relationships/customXml" Target="../ink/ink1.xml"/><Relationship Id="rId6" Type="http://schemas.openxmlformats.org/officeDocument/2006/relationships/image" Target="../media/image110.png"/><Relationship Id="rId11" Type="http://schemas.openxmlformats.org/officeDocument/2006/relationships/customXml" Target="../ink/ink6.xml"/><Relationship Id="rId24" Type="http://schemas.openxmlformats.org/officeDocument/2006/relationships/image" Target="../media/image26000.png"/><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10" Type="http://schemas.openxmlformats.org/officeDocument/2006/relationships/image" Target="../media/image1380.png"/><Relationship Id="rId19" Type="http://schemas.openxmlformats.org/officeDocument/2006/relationships/customXml" Target="../ink/ink10.xml"/><Relationship Id="rId4" Type="http://schemas.openxmlformats.org/officeDocument/2006/relationships/image" Target="../media/image210.png"/><Relationship Id="rId9" Type="http://schemas.openxmlformats.org/officeDocument/2006/relationships/customXml" Target="../ink/ink5.xml"/><Relationship Id="rId14" Type="http://schemas.openxmlformats.org/officeDocument/2006/relationships/image" Target="../media/image1100.png"/><Relationship Id="rId22" Type="http://schemas.openxmlformats.org/officeDocument/2006/relationships/image" Target="../media/image21000.png"/></Relationships>
</file>

<file path=xl/drawings/_rels/drawing2.xml.rels><?xml version="1.0" encoding="UTF-8" standalone="yes"?>
<Relationships xmlns="http://schemas.openxmlformats.org/package/2006/relationships"><Relationship Id="rId8" Type="http://schemas.openxmlformats.org/officeDocument/2006/relationships/image" Target="../media/image260.png"/><Relationship Id="rId13" Type="http://schemas.openxmlformats.org/officeDocument/2006/relationships/customXml" Target="../ink/ink19.xml"/><Relationship Id="rId18" Type="http://schemas.openxmlformats.org/officeDocument/2006/relationships/image" Target="../media/image2101.png"/><Relationship Id="rId3" Type="http://schemas.openxmlformats.org/officeDocument/2006/relationships/customXml" Target="../ink/ink14.xml"/><Relationship Id="rId21" Type="http://schemas.openxmlformats.org/officeDocument/2006/relationships/customXml" Target="../ink/ink23.xml"/><Relationship Id="rId7" Type="http://schemas.openxmlformats.org/officeDocument/2006/relationships/customXml" Target="../ink/ink16.xml"/><Relationship Id="rId12" Type="http://schemas.openxmlformats.org/officeDocument/2006/relationships/image" Target="../media/image2100.png"/><Relationship Id="rId17" Type="http://schemas.openxmlformats.org/officeDocument/2006/relationships/customXml" Target="../ink/ink21.xml"/><Relationship Id="rId2" Type="http://schemas.openxmlformats.org/officeDocument/2006/relationships/image" Target="../media/image138.png"/><Relationship Id="rId16" Type="http://schemas.openxmlformats.org/officeDocument/2006/relationships/image" Target="../media/image2600.png"/><Relationship Id="rId20" Type="http://schemas.openxmlformats.org/officeDocument/2006/relationships/image" Target="../media/image2601.png"/><Relationship Id="rId1" Type="http://schemas.openxmlformats.org/officeDocument/2006/relationships/customXml" Target="../ink/ink13.xml"/><Relationship Id="rId6" Type="http://schemas.openxmlformats.org/officeDocument/2006/relationships/image" Target="../media/image110.png"/><Relationship Id="rId11" Type="http://schemas.openxmlformats.org/officeDocument/2006/relationships/customXml" Target="../ink/ink18.xml"/><Relationship Id="rId24" Type="http://schemas.openxmlformats.org/officeDocument/2006/relationships/image" Target="../media/image26000.png"/><Relationship Id="rId5" Type="http://schemas.openxmlformats.org/officeDocument/2006/relationships/customXml" Target="../ink/ink15.xml"/><Relationship Id="rId15" Type="http://schemas.openxmlformats.org/officeDocument/2006/relationships/customXml" Target="../ink/ink20.xml"/><Relationship Id="rId23" Type="http://schemas.openxmlformats.org/officeDocument/2006/relationships/customXml" Target="../ink/ink24.xml"/><Relationship Id="rId10" Type="http://schemas.openxmlformats.org/officeDocument/2006/relationships/image" Target="../media/image1380.png"/><Relationship Id="rId19" Type="http://schemas.openxmlformats.org/officeDocument/2006/relationships/customXml" Target="../ink/ink22.xml"/><Relationship Id="rId4" Type="http://schemas.openxmlformats.org/officeDocument/2006/relationships/image" Target="../media/image210.png"/><Relationship Id="rId9" Type="http://schemas.openxmlformats.org/officeDocument/2006/relationships/customXml" Target="../ink/ink17.xml"/><Relationship Id="rId14" Type="http://schemas.openxmlformats.org/officeDocument/2006/relationships/image" Target="../media/image1100.png"/><Relationship Id="rId22" Type="http://schemas.openxmlformats.org/officeDocument/2006/relationships/image" Target="../media/image21000.png"/></Relationships>
</file>

<file path=xl/drawings/_rels/drawing3.xml.rels><?xml version="1.0" encoding="UTF-8" standalone="yes"?>
<Relationships xmlns="http://schemas.openxmlformats.org/package/2006/relationships"><Relationship Id="rId8" Type="http://schemas.openxmlformats.org/officeDocument/2006/relationships/image" Target="../media/image260.png"/><Relationship Id="rId13" Type="http://schemas.openxmlformats.org/officeDocument/2006/relationships/customXml" Target="../ink/ink31.xml"/><Relationship Id="rId18" Type="http://schemas.openxmlformats.org/officeDocument/2006/relationships/image" Target="../media/image2101.png"/><Relationship Id="rId26" Type="http://schemas.openxmlformats.org/officeDocument/2006/relationships/image" Target="../media/image2101.png"/><Relationship Id="rId3" Type="http://schemas.openxmlformats.org/officeDocument/2006/relationships/customXml" Target="../ink/ink26.xml"/><Relationship Id="rId21" Type="http://schemas.openxmlformats.org/officeDocument/2006/relationships/customXml" Target="../ink/ink35.xml"/><Relationship Id="rId7" Type="http://schemas.openxmlformats.org/officeDocument/2006/relationships/customXml" Target="../ink/ink28.xml"/><Relationship Id="rId12" Type="http://schemas.openxmlformats.org/officeDocument/2006/relationships/image" Target="../media/image2100.png"/><Relationship Id="rId17" Type="http://schemas.openxmlformats.org/officeDocument/2006/relationships/customXml" Target="../ink/ink33.xml"/><Relationship Id="rId25" Type="http://schemas.openxmlformats.org/officeDocument/2006/relationships/customXml" Target="../ink/ink37.xml"/><Relationship Id="rId2" Type="http://schemas.openxmlformats.org/officeDocument/2006/relationships/image" Target="../media/image138.png"/><Relationship Id="rId16" Type="http://schemas.openxmlformats.org/officeDocument/2006/relationships/image" Target="../media/image2600.png"/><Relationship Id="rId20" Type="http://schemas.openxmlformats.org/officeDocument/2006/relationships/image" Target="../media/image2601.png"/><Relationship Id="rId29" Type="http://schemas.openxmlformats.org/officeDocument/2006/relationships/customXml" Target="../ink/ink39.xml"/><Relationship Id="rId1" Type="http://schemas.openxmlformats.org/officeDocument/2006/relationships/customXml" Target="../ink/ink25.xml"/><Relationship Id="rId6" Type="http://schemas.openxmlformats.org/officeDocument/2006/relationships/image" Target="../media/image110.png"/><Relationship Id="rId11" Type="http://schemas.openxmlformats.org/officeDocument/2006/relationships/customXml" Target="../ink/ink30.xml"/><Relationship Id="rId24" Type="http://schemas.openxmlformats.org/officeDocument/2006/relationships/image" Target="../media/image26000.png"/><Relationship Id="rId32" Type="http://schemas.openxmlformats.org/officeDocument/2006/relationships/image" Target="../media/image26000.png"/><Relationship Id="rId5" Type="http://schemas.openxmlformats.org/officeDocument/2006/relationships/customXml" Target="../ink/ink27.xml"/><Relationship Id="rId15" Type="http://schemas.openxmlformats.org/officeDocument/2006/relationships/customXml" Target="../ink/ink32.xml"/><Relationship Id="rId23" Type="http://schemas.openxmlformats.org/officeDocument/2006/relationships/customXml" Target="../ink/ink36.xml"/><Relationship Id="rId28" Type="http://schemas.openxmlformats.org/officeDocument/2006/relationships/image" Target="../media/image2601.png"/><Relationship Id="rId10" Type="http://schemas.openxmlformats.org/officeDocument/2006/relationships/image" Target="../media/image1380.png"/><Relationship Id="rId19" Type="http://schemas.openxmlformats.org/officeDocument/2006/relationships/customXml" Target="../ink/ink34.xml"/><Relationship Id="rId31" Type="http://schemas.openxmlformats.org/officeDocument/2006/relationships/customXml" Target="../ink/ink40.xml"/><Relationship Id="rId4" Type="http://schemas.openxmlformats.org/officeDocument/2006/relationships/image" Target="../media/image210.png"/><Relationship Id="rId9" Type="http://schemas.openxmlformats.org/officeDocument/2006/relationships/customXml" Target="../ink/ink29.xml"/><Relationship Id="rId14" Type="http://schemas.openxmlformats.org/officeDocument/2006/relationships/image" Target="../media/image1100.png"/><Relationship Id="rId22" Type="http://schemas.openxmlformats.org/officeDocument/2006/relationships/image" Target="../media/image21000.png"/><Relationship Id="rId27" Type="http://schemas.openxmlformats.org/officeDocument/2006/relationships/customXml" Target="../ink/ink38.xml"/><Relationship Id="rId30" Type="http://schemas.openxmlformats.org/officeDocument/2006/relationships/image" Target="../media/image21000.png"/></Relationships>
</file>

<file path=xl/drawings/_rels/drawing4.xml.rels><?xml version="1.0" encoding="UTF-8" standalone="yes"?>
<Relationships xmlns="http://schemas.openxmlformats.org/package/2006/relationships"><Relationship Id="rId13" Type="http://schemas.openxmlformats.org/officeDocument/2006/relationships/customXml" Target="../ink/ink47.xml"/><Relationship Id="rId18" Type="http://schemas.openxmlformats.org/officeDocument/2006/relationships/image" Target="../media/image2101.png"/><Relationship Id="rId26" Type="http://schemas.openxmlformats.org/officeDocument/2006/relationships/image" Target="../media/image2101.png"/><Relationship Id="rId39" Type="http://schemas.openxmlformats.org/officeDocument/2006/relationships/customXml" Target="../ink/ink60.xml"/><Relationship Id="rId21" Type="http://schemas.openxmlformats.org/officeDocument/2006/relationships/customXml" Target="../ink/ink51.xml"/><Relationship Id="rId34" Type="http://schemas.openxmlformats.org/officeDocument/2006/relationships/image" Target="../media/image2101.png"/><Relationship Id="rId7" Type="http://schemas.openxmlformats.org/officeDocument/2006/relationships/customXml" Target="../ink/ink44.xml"/><Relationship Id="rId12" Type="http://schemas.openxmlformats.org/officeDocument/2006/relationships/image" Target="../media/image2100.png"/><Relationship Id="rId17" Type="http://schemas.openxmlformats.org/officeDocument/2006/relationships/customXml" Target="../ink/ink49.xml"/><Relationship Id="rId25" Type="http://schemas.openxmlformats.org/officeDocument/2006/relationships/customXml" Target="../ink/ink53.xml"/><Relationship Id="rId33" Type="http://schemas.openxmlformats.org/officeDocument/2006/relationships/customXml" Target="../ink/ink57.xml"/><Relationship Id="rId38" Type="http://schemas.openxmlformats.org/officeDocument/2006/relationships/image" Target="../media/image21000.png"/><Relationship Id="rId2" Type="http://schemas.openxmlformats.org/officeDocument/2006/relationships/image" Target="../media/image138.png"/><Relationship Id="rId16" Type="http://schemas.openxmlformats.org/officeDocument/2006/relationships/image" Target="../media/image2600.png"/><Relationship Id="rId20" Type="http://schemas.openxmlformats.org/officeDocument/2006/relationships/image" Target="../media/image2601.png"/><Relationship Id="rId29" Type="http://schemas.openxmlformats.org/officeDocument/2006/relationships/customXml" Target="../ink/ink55.xml"/><Relationship Id="rId1" Type="http://schemas.openxmlformats.org/officeDocument/2006/relationships/customXml" Target="../ink/ink41.xml"/><Relationship Id="rId6" Type="http://schemas.openxmlformats.org/officeDocument/2006/relationships/image" Target="../media/image110.png"/><Relationship Id="rId11" Type="http://schemas.openxmlformats.org/officeDocument/2006/relationships/customXml" Target="../ink/ink46.xml"/><Relationship Id="rId24" Type="http://schemas.openxmlformats.org/officeDocument/2006/relationships/image" Target="../media/image26000.png"/><Relationship Id="rId32" Type="http://schemas.openxmlformats.org/officeDocument/2006/relationships/image" Target="../media/image26000.png"/><Relationship Id="rId37" Type="http://schemas.openxmlformats.org/officeDocument/2006/relationships/customXml" Target="../ink/ink59.xml"/><Relationship Id="rId40" Type="http://schemas.openxmlformats.org/officeDocument/2006/relationships/image" Target="../media/image26000.png"/><Relationship Id="rId5" Type="http://schemas.openxmlformats.org/officeDocument/2006/relationships/customXml" Target="../ink/ink43.xml"/><Relationship Id="rId15" Type="http://schemas.openxmlformats.org/officeDocument/2006/relationships/customXml" Target="../ink/ink48.xml"/><Relationship Id="rId23" Type="http://schemas.openxmlformats.org/officeDocument/2006/relationships/customXml" Target="../ink/ink52.xml"/><Relationship Id="rId28" Type="http://schemas.openxmlformats.org/officeDocument/2006/relationships/image" Target="../media/image2601.png"/><Relationship Id="rId36" Type="http://schemas.openxmlformats.org/officeDocument/2006/relationships/image" Target="../media/image2601.png"/><Relationship Id="rId10" Type="http://schemas.openxmlformats.org/officeDocument/2006/relationships/image" Target="../media/image1380.png"/><Relationship Id="rId19" Type="http://schemas.openxmlformats.org/officeDocument/2006/relationships/customXml" Target="../ink/ink50.xml"/><Relationship Id="rId31" Type="http://schemas.openxmlformats.org/officeDocument/2006/relationships/customXml" Target="../ink/ink56.xml"/><Relationship Id="rId4" Type="http://schemas.openxmlformats.org/officeDocument/2006/relationships/image" Target="../media/image210.png"/><Relationship Id="rId9" Type="http://schemas.openxmlformats.org/officeDocument/2006/relationships/customXml" Target="../ink/ink45.xml"/><Relationship Id="rId14" Type="http://schemas.openxmlformats.org/officeDocument/2006/relationships/image" Target="../media/image1100.png"/><Relationship Id="rId22" Type="http://schemas.openxmlformats.org/officeDocument/2006/relationships/image" Target="../media/image21000.png"/><Relationship Id="rId27" Type="http://schemas.openxmlformats.org/officeDocument/2006/relationships/customXml" Target="../ink/ink54.xml"/><Relationship Id="rId30" Type="http://schemas.openxmlformats.org/officeDocument/2006/relationships/image" Target="../media/image21000.png"/><Relationship Id="rId35" Type="http://schemas.openxmlformats.org/officeDocument/2006/relationships/customXml" Target="../ink/ink58.xml"/><Relationship Id="rId8" Type="http://schemas.openxmlformats.org/officeDocument/2006/relationships/image" Target="../media/image260.png"/><Relationship Id="rId3" Type="http://schemas.openxmlformats.org/officeDocument/2006/relationships/customXml" Target="../ink/ink42.xml"/></Relationships>
</file>

<file path=xl/drawings/_rels/drawing5.xml.rels><?xml version="1.0" encoding="UTF-8" standalone="yes"?>
<Relationships xmlns="http://schemas.openxmlformats.org/package/2006/relationships"><Relationship Id="rId13" Type="http://schemas.openxmlformats.org/officeDocument/2006/relationships/customXml" Target="../ink/ink67.xml"/><Relationship Id="rId18" Type="http://schemas.openxmlformats.org/officeDocument/2006/relationships/image" Target="../media/image2101.png"/><Relationship Id="rId26" Type="http://schemas.openxmlformats.org/officeDocument/2006/relationships/image" Target="../media/image2101.png"/><Relationship Id="rId39" Type="http://schemas.openxmlformats.org/officeDocument/2006/relationships/customXml" Target="../ink/ink80.xml"/><Relationship Id="rId21" Type="http://schemas.openxmlformats.org/officeDocument/2006/relationships/customXml" Target="../ink/ink71.xml"/><Relationship Id="rId34" Type="http://schemas.openxmlformats.org/officeDocument/2006/relationships/image" Target="../media/image2101.png"/><Relationship Id="rId42" Type="http://schemas.openxmlformats.org/officeDocument/2006/relationships/image" Target="../media/image2101.png"/><Relationship Id="rId47" Type="http://schemas.openxmlformats.org/officeDocument/2006/relationships/customXml" Target="../ink/ink84.xml"/><Relationship Id="rId7" Type="http://schemas.openxmlformats.org/officeDocument/2006/relationships/customXml" Target="../ink/ink64.xml"/><Relationship Id="rId2" Type="http://schemas.openxmlformats.org/officeDocument/2006/relationships/image" Target="../media/image138.png"/><Relationship Id="rId16" Type="http://schemas.openxmlformats.org/officeDocument/2006/relationships/image" Target="../media/image2600.png"/><Relationship Id="rId29" Type="http://schemas.openxmlformats.org/officeDocument/2006/relationships/customXml" Target="../ink/ink75.xml"/><Relationship Id="rId1" Type="http://schemas.openxmlformats.org/officeDocument/2006/relationships/customXml" Target="../ink/ink61.xml"/><Relationship Id="rId6" Type="http://schemas.openxmlformats.org/officeDocument/2006/relationships/image" Target="../media/image110.png"/><Relationship Id="rId11" Type="http://schemas.openxmlformats.org/officeDocument/2006/relationships/customXml" Target="../ink/ink66.xml"/><Relationship Id="rId24" Type="http://schemas.openxmlformats.org/officeDocument/2006/relationships/image" Target="../media/image26000.png"/><Relationship Id="rId32" Type="http://schemas.openxmlformats.org/officeDocument/2006/relationships/image" Target="../media/image26000.png"/><Relationship Id="rId37" Type="http://schemas.openxmlformats.org/officeDocument/2006/relationships/customXml" Target="../ink/ink79.xml"/><Relationship Id="rId40" Type="http://schemas.openxmlformats.org/officeDocument/2006/relationships/image" Target="../media/image26000.png"/><Relationship Id="rId45" Type="http://schemas.openxmlformats.org/officeDocument/2006/relationships/customXml" Target="../ink/ink83.xml"/><Relationship Id="rId5" Type="http://schemas.openxmlformats.org/officeDocument/2006/relationships/customXml" Target="../ink/ink63.xml"/><Relationship Id="rId15" Type="http://schemas.openxmlformats.org/officeDocument/2006/relationships/customXml" Target="../ink/ink68.xml"/><Relationship Id="rId23" Type="http://schemas.openxmlformats.org/officeDocument/2006/relationships/customXml" Target="../ink/ink72.xml"/><Relationship Id="rId28" Type="http://schemas.openxmlformats.org/officeDocument/2006/relationships/image" Target="../media/image2601.png"/><Relationship Id="rId36" Type="http://schemas.openxmlformats.org/officeDocument/2006/relationships/image" Target="../media/image2601.png"/><Relationship Id="rId10" Type="http://schemas.openxmlformats.org/officeDocument/2006/relationships/image" Target="../media/image1380.png"/><Relationship Id="rId19" Type="http://schemas.openxmlformats.org/officeDocument/2006/relationships/customXml" Target="../ink/ink70.xml"/><Relationship Id="rId31" Type="http://schemas.openxmlformats.org/officeDocument/2006/relationships/customXml" Target="../ink/ink76.xml"/><Relationship Id="rId44" Type="http://schemas.openxmlformats.org/officeDocument/2006/relationships/image" Target="../media/image2601.png"/><Relationship Id="rId4" Type="http://schemas.openxmlformats.org/officeDocument/2006/relationships/image" Target="../media/image210.png"/><Relationship Id="rId9" Type="http://schemas.openxmlformats.org/officeDocument/2006/relationships/customXml" Target="../ink/ink65.xml"/><Relationship Id="rId14" Type="http://schemas.openxmlformats.org/officeDocument/2006/relationships/image" Target="../media/image1100.png"/><Relationship Id="rId22" Type="http://schemas.openxmlformats.org/officeDocument/2006/relationships/image" Target="../media/image21000.png"/><Relationship Id="rId27" Type="http://schemas.openxmlformats.org/officeDocument/2006/relationships/customXml" Target="../ink/ink74.xml"/><Relationship Id="rId30" Type="http://schemas.openxmlformats.org/officeDocument/2006/relationships/image" Target="../media/image21000.png"/><Relationship Id="rId35" Type="http://schemas.openxmlformats.org/officeDocument/2006/relationships/customXml" Target="../ink/ink78.xml"/><Relationship Id="rId43" Type="http://schemas.openxmlformats.org/officeDocument/2006/relationships/customXml" Target="../ink/ink82.xml"/><Relationship Id="rId48" Type="http://schemas.openxmlformats.org/officeDocument/2006/relationships/image" Target="../media/image26000.png"/><Relationship Id="rId8" Type="http://schemas.openxmlformats.org/officeDocument/2006/relationships/image" Target="../media/image260.png"/><Relationship Id="rId3" Type="http://schemas.openxmlformats.org/officeDocument/2006/relationships/customXml" Target="../ink/ink62.xml"/><Relationship Id="rId12" Type="http://schemas.openxmlformats.org/officeDocument/2006/relationships/image" Target="../media/image2100.png"/><Relationship Id="rId17" Type="http://schemas.openxmlformats.org/officeDocument/2006/relationships/customXml" Target="../ink/ink69.xml"/><Relationship Id="rId25" Type="http://schemas.openxmlformats.org/officeDocument/2006/relationships/customXml" Target="../ink/ink73.xml"/><Relationship Id="rId33" Type="http://schemas.openxmlformats.org/officeDocument/2006/relationships/customXml" Target="../ink/ink77.xml"/><Relationship Id="rId38" Type="http://schemas.openxmlformats.org/officeDocument/2006/relationships/image" Target="../media/image21000.png"/><Relationship Id="rId46" Type="http://schemas.openxmlformats.org/officeDocument/2006/relationships/image" Target="../media/image21000.png"/><Relationship Id="rId20" Type="http://schemas.openxmlformats.org/officeDocument/2006/relationships/image" Target="../media/image2601.png"/><Relationship Id="rId41" Type="http://schemas.openxmlformats.org/officeDocument/2006/relationships/customXml" Target="../ink/ink81.xml"/></Relationships>
</file>

<file path=xl/drawings/_rels/drawing6.xml.rels><?xml version="1.0" encoding="UTF-8" standalone="yes"?>
<Relationships xmlns="http://schemas.openxmlformats.org/package/2006/relationships"><Relationship Id="rId55" Type="http://schemas.openxmlformats.org/officeDocument/2006/relationships/image" Target="../media/image1500.png"/><Relationship Id="rId2" Type="http://schemas.openxmlformats.org/officeDocument/2006/relationships/customXml" Target="../ink/ink85.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2"/>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6"/>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0000000-0008-0000-0200-000005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8"/>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0200-000006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0"/>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2"/>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00000000-0008-0000-0200-000008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4"/>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00000000-0008-0000-0200-000009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6"/>
            <a:stretch>
              <a:fillRect/>
            </a:stretch>
          </xdr:blipFill>
          <xdr:spPr>
            <a:xfrm>
              <a:off x="4853715" y="2187510"/>
              <a:ext cx="22320" cy="62640"/>
            </a:xfrm>
            <a:prstGeom prst="rect">
              <a:avLst/>
            </a:prstGeom>
          </xdr:spPr>
        </xdr:pic>
      </mc:Fallback>
    </mc:AlternateContent>
    <xdr:clientData/>
  </xdr:twoCellAnchor>
  <mc:AlternateContent xmlns:mc="http://schemas.openxmlformats.org/markup-compatibility/2006">
    <mc:Choice xmlns:a14="http://schemas.microsoft.com/office/drawing/2010/main" Requires="a14">
      <xdr:twoCellAnchor editAs="oneCell">
        <xdr:from>
          <xdr:col>6</xdr:col>
          <xdr:colOff>30480</xdr:colOff>
          <xdr:row>19</xdr:row>
          <xdr:rowOff>0</xdr:rowOff>
        </xdr:from>
        <xdr:to>
          <xdr:col>7</xdr:col>
          <xdr:colOff>144780</xdr:colOff>
          <xdr:row>20</xdr:row>
          <xdr:rowOff>7620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4" name="Ink 13">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5" name="Ink 14">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0"/>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6" name="Ink 15">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2"/>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7" name="Ink 16">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4"/>
            <a:stretch>
              <a:fillRect/>
            </a:stretch>
          </xdr:blipFill>
          <xdr:spPr>
            <a:xfrm>
              <a:off x="4853715" y="2187510"/>
              <a:ext cx="22320" cy="6264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2"/>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6"/>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0000000-0008-0000-0200-000005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8"/>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0200-000006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0"/>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2"/>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00000000-0008-0000-0200-000008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4"/>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00000000-0008-0000-0200-000009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6"/>
            <a:stretch>
              <a:fillRect/>
            </a:stretch>
          </xdr:blipFill>
          <xdr:spPr>
            <a:xfrm>
              <a:off x="4853715" y="2187510"/>
              <a:ext cx="22320" cy="62640"/>
            </a:xfrm>
            <a:prstGeom prst="rect">
              <a:avLst/>
            </a:prstGeom>
          </xdr:spPr>
        </xdr:pic>
      </mc:Fallback>
    </mc:AlternateContent>
    <xdr:clientData/>
  </xdr:twoCellAnchor>
  <mc:AlternateContent xmlns:mc="http://schemas.openxmlformats.org/markup-compatibility/2006">
    <mc:Choice xmlns:a14="http://schemas.microsoft.com/office/drawing/2010/main" Requires="a14">
      <xdr:twoCellAnchor editAs="oneCell">
        <xdr:from>
          <xdr:col>6</xdr:col>
          <xdr:colOff>30480</xdr:colOff>
          <xdr:row>19</xdr:row>
          <xdr:rowOff>0</xdr:rowOff>
        </xdr:from>
        <xdr:to>
          <xdr:col>7</xdr:col>
          <xdr:colOff>144780</xdr:colOff>
          <xdr:row>20</xdr:row>
          <xdr:rowOff>7620</xdr:rowOff>
        </xdr:to>
        <xdr:sp macro="" textlink="">
          <xdr:nvSpPr>
            <xdr:cNvPr id="10241" name="Drop Down 1" hidden="1">
              <a:extLst>
                <a:ext uri="{63B3BB69-23CF-44E3-9099-C40C66FF867C}">
                  <a14:compatExt spid="_x0000_s10241"/>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 name="Ink 10">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 name="Ink 11">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0"/>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 name="Ink 12">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2"/>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4" name="Ink 13">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4"/>
            <a:stretch>
              <a:fillRect/>
            </a:stretch>
          </xdr:blipFill>
          <xdr:spPr>
            <a:xfrm>
              <a:off x="4853715" y="2187510"/>
              <a:ext cx="22320" cy="6264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2"/>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6"/>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0000000-0008-0000-0200-000005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8"/>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0200-000006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0"/>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2"/>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00000000-0008-0000-0200-000008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4"/>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00000000-0008-0000-0200-000009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6"/>
            <a:stretch>
              <a:fillRect/>
            </a:stretch>
          </xdr:blipFill>
          <xdr:spPr>
            <a:xfrm>
              <a:off x="4853715" y="2187510"/>
              <a:ext cx="22320" cy="62640"/>
            </a:xfrm>
            <a:prstGeom prst="rect">
              <a:avLst/>
            </a:prstGeom>
          </xdr:spPr>
        </xdr:pic>
      </mc:Fallback>
    </mc:AlternateContent>
    <xdr:clientData/>
  </xdr:twoCellAnchor>
  <mc:AlternateContent xmlns:mc="http://schemas.openxmlformats.org/markup-compatibility/2006">
    <mc:Choice xmlns:a14="http://schemas.microsoft.com/office/drawing/2010/main" Requires="a14">
      <xdr:twoCellAnchor editAs="oneCell">
        <xdr:from>
          <xdr:col>6</xdr:col>
          <xdr:colOff>30480</xdr:colOff>
          <xdr:row>19</xdr:row>
          <xdr:rowOff>0</xdr:rowOff>
        </xdr:from>
        <xdr:to>
          <xdr:col>7</xdr:col>
          <xdr:colOff>144780</xdr:colOff>
          <xdr:row>20</xdr:row>
          <xdr:rowOff>7620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 name="Ink 10">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 name="Ink 11">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0"/>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 name="Ink 12">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2"/>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4" name="Ink 13">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4"/>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 name="Ink 14">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6"/>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 name="Ink 15">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7" name="Ink 16">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0"/>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8" name="Ink 17">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2"/>
            <a:stretch>
              <a:fillRect/>
            </a:stretch>
          </xdr:blipFill>
          <xdr:spPr>
            <a:xfrm>
              <a:off x="4853715" y="2187510"/>
              <a:ext cx="22320" cy="6264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2"/>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6"/>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0000000-0008-0000-0200-000005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8"/>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0200-000006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0"/>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2"/>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00000000-0008-0000-0200-000008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4"/>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00000000-0008-0000-0200-000009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6"/>
            <a:stretch>
              <a:fillRect/>
            </a:stretch>
          </xdr:blipFill>
          <xdr:spPr>
            <a:xfrm>
              <a:off x="4853715" y="2187510"/>
              <a:ext cx="22320" cy="62640"/>
            </a:xfrm>
            <a:prstGeom prst="rect">
              <a:avLst/>
            </a:prstGeom>
          </xdr:spPr>
        </xdr:pic>
      </mc:Fallback>
    </mc:AlternateContent>
    <xdr:clientData/>
  </xdr:twoCellAnchor>
  <mc:AlternateContent xmlns:mc="http://schemas.openxmlformats.org/markup-compatibility/2006">
    <mc:Choice xmlns:a14="http://schemas.microsoft.com/office/drawing/2010/main" Requires="a14">
      <xdr:twoCellAnchor editAs="oneCell">
        <xdr:from>
          <xdr:col>6</xdr:col>
          <xdr:colOff>30480</xdr:colOff>
          <xdr:row>19</xdr:row>
          <xdr:rowOff>0</xdr:rowOff>
        </xdr:from>
        <xdr:to>
          <xdr:col>7</xdr:col>
          <xdr:colOff>144780</xdr:colOff>
          <xdr:row>20</xdr:row>
          <xdr:rowOff>7620</xdr:rowOff>
        </xdr:to>
        <xdr:sp macro="" textlink="">
          <xdr:nvSpPr>
            <xdr:cNvPr id="12289" name="Drop Down 1" hidden="1">
              <a:extLst>
                <a:ext uri="{63B3BB69-23CF-44E3-9099-C40C66FF867C}">
                  <a14:compatExt spid="_x0000_s12289"/>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 name="Ink 10">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 name="Ink 11">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0"/>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 name="Ink 12">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2"/>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4" name="Ink 13">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4"/>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 name="Ink 14">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6"/>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 name="Ink 15">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7" name="Ink 16">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0"/>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8" name="Ink 17">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2"/>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9" name="Ink 18">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4"/>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0" name="Ink 19">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6"/>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2" name="Ink 21">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0"/>
            <a:stretch>
              <a:fillRect/>
            </a:stretch>
          </xdr:blipFill>
          <xdr:spPr>
            <a:xfrm>
              <a:off x="4853715" y="2187510"/>
              <a:ext cx="22320" cy="6264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2"/>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6"/>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00000000-0008-0000-0200-000005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8"/>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00000000-0008-0000-0200-000006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0"/>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2"/>
            <a:stretch>
              <a:fillRect/>
            </a:stretch>
          </xdr:blipFill>
          <xdr:spPr>
            <a:xfrm>
              <a:off x="4853715" y="2187510"/>
              <a:ext cx="22320" cy="62640"/>
            </a:xfrm>
            <a:prstGeom prst="rect">
              <a:avLst/>
            </a:prstGeom>
          </xdr:spPr>
        </xdr:pic>
      </mc:Fallback>
    </mc:AlternateContent>
    <xdr:clientData/>
  </xdr:twoCellAnchor>
  <xdr:twoCellAnchor editAs="oneCell">
    <xdr:from>
      <xdr:col>7</xdr:col>
      <xdr:colOff>647700</xdr:colOff>
      <xdr:row>2</xdr:row>
      <xdr:rowOff>133305</xdr:rowOff>
    </xdr:from>
    <xdr:to>
      <xdr:col>7</xdr:col>
      <xdr:colOff>648060</xdr:colOff>
      <xdr:row>2</xdr:row>
      <xdr:rowOff>133665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00000000-0008-0000-0200-000008000000}"/>
                </a:ext>
              </a:extLst>
            </xdr14:cNvPr>
            <xdr14:cNvContentPartPr/>
          </xdr14:nvContentPartPr>
          <xdr14:nvPr macro=""/>
          <xdr14:xfrm>
            <a:off x="6848475" y="676230"/>
            <a:ext cx="360" cy="360"/>
          </xdr14:xfrm>
        </xdr:contentPart>
      </mc:Choice>
      <mc:Fallback xmlns="">
        <xdr:pic>
          <xdr:nvPicPr>
            <xdr:cNvPr id="2" name="Ink 1">
              <a:extLst>
                <a:ext uri="{FF2B5EF4-FFF2-40B4-BE49-F238E27FC236}">
                  <a16:creationId xmlns:a16="http://schemas.microsoft.com/office/drawing/2014/main" id="{953CCCA4-10F5-44B6-ACAD-468072214CA3}"/>
                </a:ext>
              </a:extLst>
            </xdr:cNvPr>
            <xdr:cNvPicPr/>
          </xdr:nvPicPr>
          <xdr:blipFill>
            <a:blip xmlns:r="http://schemas.openxmlformats.org/officeDocument/2006/relationships" r:embed="rId14"/>
            <a:stretch>
              <a:fillRect/>
            </a:stretch>
          </xdr:blipFill>
          <xdr:spPr>
            <a:xfrm>
              <a:off x="6844155" y="671910"/>
              <a:ext cx="9000" cy="9000"/>
            </a:xfrm>
            <a:prstGeom prst="rect">
              <a:avLst/>
            </a:prstGeom>
          </xdr:spPr>
        </xdr:pic>
      </mc:Fallback>
    </mc:AlternateContent>
    <xdr:clientData/>
  </xdr:twoCellAnchor>
  <xdr:twoCellAnchor editAs="oneCell">
    <xdr:from>
      <xdr:col>2</xdr:col>
      <xdr:colOff>171735</xdr:colOff>
      <xdr:row>11</xdr:row>
      <xdr:rowOff>0</xdr:rowOff>
    </xdr:from>
    <xdr:to>
      <xdr:col>2</xdr:col>
      <xdr:colOff>185415</xdr:colOff>
      <xdr:row>11</xdr:row>
      <xdr:rowOff>54000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00000000-0008-0000-0200-000009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6"/>
            <a:stretch>
              <a:fillRect/>
            </a:stretch>
          </xdr:blipFill>
          <xdr:spPr>
            <a:xfrm>
              <a:off x="4853715" y="2187510"/>
              <a:ext cx="22320" cy="62640"/>
            </a:xfrm>
            <a:prstGeom prst="rect">
              <a:avLst/>
            </a:prstGeom>
          </xdr:spPr>
        </xdr:pic>
      </mc:Fallback>
    </mc:AlternateContent>
    <xdr:clientData/>
  </xdr:twoCellAnchor>
  <mc:AlternateContent xmlns:mc="http://schemas.openxmlformats.org/markup-compatibility/2006">
    <mc:Choice xmlns:a14="http://schemas.microsoft.com/office/drawing/2010/main" Requires="a14">
      <xdr:twoCellAnchor editAs="oneCell">
        <xdr:from>
          <xdr:col>6</xdr:col>
          <xdr:colOff>30480</xdr:colOff>
          <xdr:row>19</xdr:row>
          <xdr:rowOff>0</xdr:rowOff>
        </xdr:from>
        <xdr:to>
          <xdr:col>7</xdr:col>
          <xdr:colOff>144780</xdr:colOff>
          <xdr:row>20</xdr:row>
          <xdr:rowOff>7620</xdr:rowOff>
        </xdr:to>
        <xdr:sp macro="" textlink="">
          <xdr:nvSpPr>
            <xdr:cNvPr id="13313" name="Drop Down 1" hidden="1">
              <a:extLst>
                <a:ext uri="{63B3BB69-23CF-44E3-9099-C40C66FF867C}">
                  <a14:compatExt spid="_x0000_s13313"/>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 name="Ink 10">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1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2" name="Ink 11">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0"/>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 name="Ink 12">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2"/>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4" name="Ink 13">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4"/>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5" name="Ink 14">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6"/>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6" name="Ink 15">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2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7" name="Ink 16">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0"/>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8" name="Ink 17">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2"/>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9" name="Ink 18">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4"/>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20" name="Ink 19">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6"/>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38"/>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2" name="Ink 21">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0"/>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3" name="Ink 22">
              <a:extLst>
                <a:ext uri="{FF2B5EF4-FFF2-40B4-BE49-F238E27FC236}">
                  <a16:creationId xmlns:a16="http://schemas.microsoft.com/office/drawing/2014/main" id="{00000000-0008-0000-0200-00000E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2"/>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4" name="Ink 23">
              <a:extLst>
                <a:ext uri="{FF2B5EF4-FFF2-40B4-BE49-F238E27FC236}">
                  <a16:creationId xmlns:a16="http://schemas.microsoft.com/office/drawing/2014/main" id="{00000000-0008-0000-0200-00000F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4"/>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5" name="Ink 24">
              <a:extLst>
                <a:ext uri="{FF2B5EF4-FFF2-40B4-BE49-F238E27FC236}">
                  <a16:creationId xmlns:a16="http://schemas.microsoft.com/office/drawing/2014/main" id="{00000000-0008-0000-0200-000010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6"/>
            <a:stretch>
              <a:fillRect/>
            </a:stretch>
          </xdr:blipFill>
          <xdr:spPr>
            <a:xfrm>
              <a:off x="4853715" y="2187510"/>
              <a:ext cx="22320" cy="62640"/>
            </a:xfrm>
            <a:prstGeom prst="rect">
              <a:avLst/>
            </a:prstGeom>
          </xdr:spPr>
        </xdr:pic>
      </mc:Fallback>
    </mc:AlternateContent>
    <xdr:clientData/>
  </xdr:twoCellAnchor>
  <xdr:twoCellAnchor editAs="oneCell">
    <xdr:from>
      <xdr:col>2</xdr:col>
      <xdr:colOff>171735</xdr:colOff>
      <xdr:row>10</xdr:row>
      <xdr:rowOff>29655</xdr:rowOff>
    </xdr:from>
    <xdr:to>
      <xdr:col>2</xdr:col>
      <xdr:colOff>185415</xdr:colOff>
      <xdr:row>10</xdr:row>
      <xdr:rowOff>83655</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6" name="Ink 25">
              <a:extLst>
                <a:ext uri="{FF2B5EF4-FFF2-40B4-BE49-F238E27FC236}">
                  <a16:creationId xmlns:a16="http://schemas.microsoft.com/office/drawing/2014/main" id="{00000000-0008-0000-0200-000011000000}"/>
                </a:ext>
              </a:extLst>
            </xdr14:cNvPr>
            <xdr14:cNvContentPartPr/>
          </xdr14:nvContentPartPr>
          <xdr14:nvPr macro=""/>
          <xdr14:xfrm>
            <a:off x="4858035" y="2191830"/>
            <a:ext cx="13680" cy="54000"/>
          </xdr14:xfrm>
        </xdr:contentPart>
      </mc:Choice>
      <mc:Fallback xmlns="">
        <xdr:pic>
          <xdr:nvPicPr>
            <xdr:cNvPr id="5" name="Ink 4">
              <a:extLst>
                <a:ext uri="{FF2B5EF4-FFF2-40B4-BE49-F238E27FC236}">
                  <a16:creationId xmlns:a16="http://schemas.microsoft.com/office/drawing/2014/main" id="{DCE89471-CBC6-42D0-BEE9-E53375679532}"/>
                </a:ext>
              </a:extLst>
            </xdr:cNvPr>
            <xdr:cNvPicPr/>
          </xdr:nvPicPr>
          <xdr:blipFill>
            <a:blip xmlns:r="http://schemas.openxmlformats.org/officeDocument/2006/relationships" r:embed="rId48"/>
            <a:stretch>
              <a:fillRect/>
            </a:stretch>
          </xdr:blipFill>
          <xdr:spPr>
            <a:xfrm>
              <a:off x="4853715" y="2187510"/>
              <a:ext cx="22320" cy="6264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2343150</xdr:colOff>
      <xdr:row>33</xdr:row>
      <xdr:rowOff>15756</xdr:rowOff>
    </xdr:from>
    <xdr:to>
      <xdr:col>2</xdr:col>
      <xdr:colOff>3708362</xdr:colOff>
      <xdr:row>33</xdr:row>
      <xdr:rowOff>1708150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srcRect l="34379" t="48339" r="18740" b="13754"/>
        <a:stretch/>
      </xdr:blipFill>
      <xdr:spPr>
        <a:xfrm>
          <a:off x="2952750" y="9102606"/>
          <a:ext cx="3721062" cy="1692394"/>
        </a:xfrm>
        <a:prstGeom prst="rect">
          <a:avLst/>
        </a:prstGeom>
      </xdr:spPr>
    </xdr:pic>
    <xdr:clientData/>
  </xdr:twoCellAnchor>
  <xdr:twoCellAnchor editAs="oneCell">
    <xdr:from>
      <xdr:col>3</xdr:col>
      <xdr:colOff>73890</xdr:colOff>
      <xdr:row>10</xdr:row>
      <xdr:rowOff>175720</xdr:rowOff>
    </xdr:from>
    <xdr:to>
      <xdr:col>3</xdr:col>
      <xdr:colOff>74250</xdr:colOff>
      <xdr:row>10</xdr:row>
      <xdr:rowOff>182200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86" name="Ink 85">
              <a:extLst>
                <a:ext uri="{FF2B5EF4-FFF2-40B4-BE49-F238E27FC236}">
                  <a16:creationId xmlns:a16="http://schemas.microsoft.com/office/drawing/2014/main" id="{00000000-0008-0000-0300-000056000000}"/>
                </a:ext>
              </a:extLst>
            </xdr14:cNvPr>
            <xdr14:cNvContentPartPr/>
          </xdr14:nvContentPartPr>
          <xdr14:nvPr macro=""/>
          <xdr14:xfrm>
            <a:off x="6760440" y="2372820"/>
            <a:ext cx="360" cy="6480"/>
          </xdr14:xfrm>
        </xdr:contentPart>
      </mc:Choice>
      <mc:Fallback xmlns="">
        <xdr:pic>
          <xdr:nvPicPr>
            <xdr:cNvPr id="86" name="Ink 85">
              <a:extLst>
                <a:ext uri="{FF2B5EF4-FFF2-40B4-BE49-F238E27FC236}">
                  <a16:creationId xmlns:a16="http://schemas.microsoft.com/office/drawing/2014/main" id="{80F9F6AA-14F1-4402-A648-9941B837FB3E}"/>
                </a:ext>
              </a:extLst>
            </xdr:cNvPr>
            <xdr:cNvPicPr/>
          </xdr:nvPicPr>
          <xdr:blipFill>
            <a:blip xmlns:r="http://schemas.openxmlformats.org/officeDocument/2006/relationships" r:embed="rId55"/>
            <a:stretch>
              <a:fillRect/>
            </a:stretch>
          </xdr:blipFill>
          <xdr:spPr>
            <a:xfrm>
              <a:off x="6756120" y="2368500"/>
              <a:ext cx="9000" cy="15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2-07-16T10:21:22.214"/>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2-07-16T10:21:22.215"/>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3.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2-07-16T10:21:22.216"/>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2-07-16T10:21:22.217"/>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2-07-16T10:21:22.218"/>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2-07-16T10:21:22.219"/>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2-07-16T10:21:22.220"/>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2-07-16T10:21:22.221"/>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2-07-16T10:29:41.857"/>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1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2-07-16T10:29:41.858"/>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1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2-07-16T10:29:41.859"/>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1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2-07-16T10:29:41.860"/>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13.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16.531"/>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1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16.564"/>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15.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16.565"/>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1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16.566"/>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17.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16.567"/>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1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16.568"/>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19.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16.569"/>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2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16.570"/>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2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16.603"/>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2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16.604"/>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2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16.605"/>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2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16.606"/>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25.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25.767"/>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2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25.768"/>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27.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25.769"/>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2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25.770"/>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29.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25.771"/>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3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25.772"/>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31.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25.773"/>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3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25.774"/>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3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25.775"/>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3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25.776"/>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3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25.777"/>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3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25.778"/>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3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4:21:40.009"/>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3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4:21:40.058"/>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3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4:21:40.059"/>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4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4:21:40.060"/>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41.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34.113"/>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4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34.114"/>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43.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34.115"/>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4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34.116"/>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45.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34.117"/>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4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34.118"/>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47.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34.119"/>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4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34.120"/>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4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34.121"/>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34.122"/>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34.123"/>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34.124"/>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05:00.423"/>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05:00.424"/>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05:00.425"/>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05:00.426"/>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05:00.427"/>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05:00.428"/>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5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05:00.429"/>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6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05:00.430"/>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61.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47.091"/>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6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47.092"/>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63.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47.093"/>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6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47.094"/>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65.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47.095"/>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6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47.096"/>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67.xml><?xml version="1.0" encoding="utf-8"?>
<inkml:ink xmlns:inkml="http://www.w3.org/2003/InkML">
  <inkml:definitions>
    <inkml:context xml:id="ctx0">
      <inkml:inkSource xml:id="inkSrc0">
        <inkml:traceFormat>
          <inkml:channel name="X" type="integer" max="1366" units="cm"/>
          <inkml:channel name="Y" type="integer" max="768" units="cm"/>
          <inkml:channel name="T" type="integer" max="2.14748E9" units="dev"/>
        </inkml:traceFormat>
        <inkml:channelProperties>
          <inkml:channelProperty channel="X" name="resolution" value="28.34025" units="1/cm"/>
          <inkml:channelProperty channel="Y" name="resolution" value="28.33948" units="1/cm"/>
          <inkml:channelProperty channel="T" name="resolution" value="1" units="1/dev"/>
        </inkml:channelProperties>
      </inkml:inkSource>
      <inkml:timestamp xml:id="ts0" timeString="2024-06-18T07:45:47.097"/>
    </inkml:context>
    <inkml:brush xml:id="br0">
      <inkml:brushProperty name="width" value="0.025" units="cm"/>
      <inkml:brushProperty name="height" value="0.025" units="cm"/>
      <inkml:brushProperty name="color" value="#008C3A"/>
    </inkml:brush>
  </inkml:definitions>
  <inkml:trace contextRef="#ctx0" brushRef="#br0">0 0 0</inkml:trace>
</inkml:ink>
</file>

<file path=xl/ink/ink6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47.098"/>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6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47.099"/>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47.100"/>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47.101"/>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8T07:45:47.102"/>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53"/>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54"/>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55"/>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56"/>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57"/>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58"/>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7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59"/>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8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60"/>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8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61"/>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8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62"/>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8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63"/>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8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8191" units="cm"/>
          <inkml:channel name="T" type="integer" max="2.14748E9" units="dev"/>
        </inkml:traceFormat>
        <inkml:channelProperties>
          <inkml:channelProperty channel="X" name="resolution" value="999.99994" units="1/cm"/>
          <inkml:channelProperty channel="Y" name="resolution" value="999.99994" units="1/cm"/>
          <inkml:channelProperty channel="F" name="resolution" value="249.9771" units="1/cm"/>
          <inkml:channelProperty channel="T" name="resolution" value="1" units="1/dev"/>
        </inkml:channelProperties>
      </inkml:inkSource>
      <inkml:timestamp xml:id="ts0" timeString="2024-06-19T05:25:40.964"/>
    </inkml:context>
    <inkml:brush xml:id="br0">
      <inkml:brushProperty name="width" value="0.025" units="cm"/>
      <inkml:brushProperty name="height" value="0.025" units="cm"/>
      <inkml:brushProperty name="color" value="#66CC00"/>
    </inkml:brush>
  </inkml:definitions>
  <inkml:trace contextRef="#ctx0" brushRef="#br0">18 149 329 0,'-7'-8'18'0,"1"-2"16"15,3 0 16 1,1-3 40-16,2 0 24 0,0 0 16 0,0 3 24 0,0 0-9 0,0 0-28 0,7 2-25 16,-7-1-22-16,7 2 1 0,-7 0-4 0,8 1-5 0,-4 1-20 15,-4 0-29-15,4 2-9 0,-4 1-3 0,4 2-2 16,-4 0-1-1,0 0-2-15,0 0-11 0,0 0-22 0,0 0-34 0,3 0-37 16,-3 0-28-16,0 0-36 0,0 0-39 0,0 0-5 0,0 0 3 16,0 0 28-16,0 0 69 0,0 0 41 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3-29T07:21:04.923"/>
    </inkml:context>
    <inkml:brush xml:id="br0">
      <inkml:brushProperty name="width" value="0.025" units="cm"/>
      <inkml:brushProperty name="height" value="0.025" units="cm"/>
      <inkml:brushProperty name="color" value="#E71224"/>
    </inkml:brush>
  </inkml:definitions>
  <inkml:trace contextRef="#ctx0" brushRef="#br0">0 17 1680,'0'-6'468,"0"3"12,0 0 80,0 0 428,0 1-708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comments" Target="../comments2.xml"/><Relationship Id="rId4" Type="http://schemas.openxmlformats.org/officeDocument/2006/relationships/ctrlProp" Target="../ctrlProps/ctrlProp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 Id="rId5" Type="http://schemas.openxmlformats.org/officeDocument/2006/relationships/comments" Target="../comments3.xml"/><Relationship Id="rId4" Type="http://schemas.openxmlformats.org/officeDocument/2006/relationships/ctrlProp" Target="../ctrlProps/ctrlProp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 Id="rId5" Type="http://schemas.openxmlformats.org/officeDocument/2006/relationships/comments" Target="../comments4.xml"/><Relationship Id="rId4" Type="http://schemas.openxmlformats.org/officeDocument/2006/relationships/ctrlProp" Target="../ctrlProps/ctrlProp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40"/>
  <sheetViews>
    <sheetView showGridLines="0" tabSelected="1" workbookViewId="0">
      <selection activeCell="K17" sqref="K17"/>
    </sheetView>
  </sheetViews>
  <sheetFormatPr defaultColWidth="8.77734375" defaultRowHeight="14.4" x14ac:dyDescent="0.3"/>
  <cols>
    <col min="1" max="1" width="16.21875" customWidth="1"/>
    <col min="2" max="2" width="12.21875" customWidth="1"/>
    <col min="3" max="3" width="17.77734375" bestFit="1" customWidth="1"/>
    <col min="4" max="5" width="12.77734375" customWidth="1"/>
    <col min="6" max="7" width="11.44140625" customWidth="1"/>
    <col min="8" max="8" width="10.21875" customWidth="1"/>
    <col min="13" max="14" width="12.77734375" customWidth="1"/>
    <col min="15" max="15" width="17.77734375" bestFit="1" customWidth="1"/>
    <col min="16" max="16" width="13.21875" customWidth="1"/>
    <col min="17" max="17" width="16.77734375" customWidth="1"/>
    <col min="259" max="259" width="16.21875" customWidth="1"/>
    <col min="260" max="260" width="12.21875" customWidth="1"/>
    <col min="261" max="262" width="12.77734375" customWidth="1"/>
    <col min="263" max="264" width="11.44140625" customWidth="1"/>
    <col min="265" max="265" width="10.21875" customWidth="1"/>
    <col min="269" max="270" width="12.77734375" customWidth="1"/>
    <col min="271" max="271" width="17.77734375" customWidth="1"/>
    <col min="272" max="272" width="13.21875" customWidth="1"/>
    <col min="273" max="273" width="16.77734375" customWidth="1"/>
    <col min="515" max="515" width="16.21875" customWidth="1"/>
    <col min="516" max="516" width="12.21875" customWidth="1"/>
    <col min="517" max="518" width="12.77734375" customWidth="1"/>
    <col min="519" max="520" width="11.44140625" customWidth="1"/>
    <col min="521" max="521" width="10.21875" customWidth="1"/>
    <col min="525" max="526" width="12.77734375" customWidth="1"/>
    <col min="527" max="527" width="17.77734375" customWidth="1"/>
    <col min="528" max="528" width="13.21875" customWidth="1"/>
    <col min="529" max="529" width="16.77734375" customWidth="1"/>
    <col min="771" max="771" width="16.21875" customWidth="1"/>
    <col min="772" max="772" width="12.21875" customWidth="1"/>
    <col min="773" max="774" width="12.77734375" customWidth="1"/>
    <col min="775" max="776" width="11.44140625" customWidth="1"/>
    <col min="777" max="777" width="10.21875" customWidth="1"/>
    <col min="781" max="782" width="12.77734375" customWidth="1"/>
    <col min="783" max="783" width="17.77734375" customWidth="1"/>
    <col min="784" max="784" width="13.21875" customWidth="1"/>
    <col min="785" max="785" width="16.77734375" customWidth="1"/>
    <col min="1027" max="1027" width="16.21875" customWidth="1"/>
    <col min="1028" max="1028" width="12.21875" customWidth="1"/>
    <col min="1029" max="1030" width="12.77734375" customWidth="1"/>
    <col min="1031" max="1032" width="11.44140625" customWidth="1"/>
    <col min="1033" max="1033" width="10.21875" customWidth="1"/>
    <col min="1037" max="1038" width="12.77734375" customWidth="1"/>
    <col min="1039" max="1039" width="17.77734375" customWidth="1"/>
    <col min="1040" max="1040" width="13.21875" customWidth="1"/>
    <col min="1041" max="1041" width="16.77734375" customWidth="1"/>
    <col min="1283" max="1283" width="16.21875" customWidth="1"/>
    <col min="1284" max="1284" width="12.21875" customWidth="1"/>
    <col min="1285" max="1286" width="12.77734375" customWidth="1"/>
    <col min="1287" max="1288" width="11.44140625" customWidth="1"/>
    <col min="1289" max="1289" width="10.21875" customWidth="1"/>
    <col min="1293" max="1294" width="12.77734375" customWidth="1"/>
    <col min="1295" max="1295" width="17.77734375" customWidth="1"/>
    <col min="1296" max="1296" width="13.21875" customWidth="1"/>
    <col min="1297" max="1297" width="16.77734375" customWidth="1"/>
    <col min="1539" max="1539" width="16.21875" customWidth="1"/>
    <col min="1540" max="1540" width="12.21875" customWidth="1"/>
    <col min="1541" max="1542" width="12.77734375" customWidth="1"/>
    <col min="1543" max="1544" width="11.44140625" customWidth="1"/>
    <col min="1545" max="1545" width="10.21875" customWidth="1"/>
    <col min="1549" max="1550" width="12.77734375" customWidth="1"/>
    <col min="1551" max="1551" width="17.77734375" customWidth="1"/>
    <col min="1552" max="1552" width="13.21875" customWidth="1"/>
    <col min="1553" max="1553" width="16.77734375" customWidth="1"/>
    <col min="1795" max="1795" width="16.21875" customWidth="1"/>
    <col min="1796" max="1796" width="12.21875" customWidth="1"/>
    <col min="1797" max="1798" width="12.77734375" customWidth="1"/>
    <col min="1799" max="1800" width="11.44140625" customWidth="1"/>
    <col min="1801" max="1801" width="10.21875" customWidth="1"/>
    <col min="1805" max="1806" width="12.77734375" customWidth="1"/>
    <col min="1807" max="1807" width="17.77734375" customWidth="1"/>
    <col min="1808" max="1808" width="13.21875" customWidth="1"/>
    <col min="1809" max="1809" width="16.77734375" customWidth="1"/>
    <col min="2051" max="2051" width="16.21875" customWidth="1"/>
    <col min="2052" max="2052" width="12.21875" customWidth="1"/>
    <col min="2053" max="2054" width="12.77734375" customWidth="1"/>
    <col min="2055" max="2056" width="11.44140625" customWidth="1"/>
    <col min="2057" max="2057" width="10.21875" customWidth="1"/>
    <col min="2061" max="2062" width="12.77734375" customWidth="1"/>
    <col min="2063" max="2063" width="17.77734375" customWidth="1"/>
    <col min="2064" max="2064" width="13.21875" customWidth="1"/>
    <col min="2065" max="2065" width="16.77734375" customWidth="1"/>
    <col min="2307" max="2307" width="16.21875" customWidth="1"/>
    <col min="2308" max="2308" width="12.21875" customWidth="1"/>
    <col min="2309" max="2310" width="12.77734375" customWidth="1"/>
    <col min="2311" max="2312" width="11.44140625" customWidth="1"/>
    <col min="2313" max="2313" width="10.21875" customWidth="1"/>
    <col min="2317" max="2318" width="12.77734375" customWidth="1"/>
    <col min="2319" max="2319" width="17.77734375" customWidth="1"/>
    <col min="2320" max="2320" width="13.21875" customWidth="1"/>
    <col min="2321" max="2321" width="16.77734375" customWidth="1"/>
    <col min="2563" max="2563" width="16.21875" customWidth="1"/>
    <col min="2564" max="2564" width="12.21875" customWidth="1"/>
    <col min="2565" max="2566" width="12.77734375" customWidth="1"/>
    <col min="2567" max="2568" width="11.44140625" customWidth="1"/>
    <col min="2569" max="2569" width="10.21875" customWidth="1"/>
    <col min="2573" max="2574" width="12.77734375" customWidth="1"/>
    <col min="2575" max="2575" width="17.77734375" customWidth="1"/>
    <col min="2576" max="2576" width="13.21875" customWidth="1"/>
    <col min="2577" max="2577" width="16.77734375" customWidth="1"/>
    <col min="2819" max="2819" width="16.21875" customWidth="1"/>
    <col min="2820" max="2820" width="12.21875" customWidth="1"/>
    <col min="2821" max="2822" width="12.77734375" customWidth="1"/>
    <col min="2823" max="2824" width="11.44140625" customWidth="1"/>
    <col min="2825" max="2825" width="10.21875" customWidth="1"/>
    <col min="2829" max="2830" width="12.77734375" customWidth="1"/>
    <col min="2831" max="2831" width="17.77734375" customWidth="1"/>
    <col min="2832" max="2832" width="13.21875" customWidth="1"/>
    <col min="2833" max="2833" width="16.77734375" customWidth="1"/>
    <col min="3075" max="3075" width="16.21875" customWidth="1"/>
    <col min="3076" max="3076" width="12.21875" customWidth="1"/>
    <col min="3077" max="3078" width="12.77734375" customWidth="1"/>
    <col min="3079" max="3080" width="11.44140625" customWidth="1"/>
    <col min="3081" max="3081" width="10.21875" customWidth="1"/>
    <col min="3085" max="3086" width="12.77734375" customWidth="1"/>
    <col min="3087" max="3087" width="17.77734375" customWidth="1"/>
    <col min="3088" max="3088" width="13.21875" customWidth="1"/>
    <col min="3089" max="3089" width="16.77734375" customWidth="1"/>
    <col min="3331" max="3331" width="16.21875" customWidth="1"/>
    <col min="3332" max="3332" width="12.21875" customWidth="1"/>
    <col min="3333" max="3334" width="12.77734375" customWidth="1"/>
    <col min="3335" max="3336" width="11.44140625" customWidth="1"/>
    <col min="3337" max="3337" width="10.21875" customWidth="1"/>
    <col min="3341" max="3342" width="12.77734375" customWidth="1"/>
    <col min="3343" max="3343" width="17.77734375" customWidth="1"/>
    <col min="3344" max="3344" width="13.21875" customWidth="1"/>
    <col min="3345" max="3345" width="16.77734375" customWidth="1"/>
    <col min="3587" max="3587" width="16.21875" customWidth="1"/>
    <col min="3588" max="3588" width="12.21875" customWidth="1"/>
    <col min="3589" max="3590" width="12.77734375" customWidth="1"/>
    <col min="3591" max="3592" width="11.44140625" customWidth="1"/>
    <col min="3593" max="3593" width="10.21875" customWidth="1"/>
    <col min="3597" max="3598" width="12.77734375" customWidth="1"/>
    <col min="3599" max="3599" width="17.77734375" customWidth="1"/>
    <col min="3600" max="3600" width="13.21875" customWidth="1"/>
    <col min="3601" max="3601" width="16.77734375" customWidth="1"/>
    <col min="3843" max="3843" width="16.21875" customWidth="1"/>
    <col min="3844" max="3844" width="12.21875" customWidth="1"/>
    <col min="3845" max="3846" width="12.77734375" customWidth="1"/>
    <col min="3847" max="3848" width="11.44140625" customWidth="1"/>
    <col min="3849" max="3849" width="10.21875" customWidth="1"/>
    <col min="3853" max="3854" width="12.77734375" customWidth="1"/>
    <col min="3855" max="3855" width="17.77734375" customWidth="1"/>
    <col min="3856" max="3856" width="13.21875" customWidth="1"/>
    <col min="3857" max="3857" width="16.77734375" customWidth="1"/>
    <col min="4099" max="4099" width="16.21875" customWidth="1"/>
    <col min="4100" max="4100" width="12.21875" customWidth="1"/>
    <col min="4101" max="4102" width="12.77734375" customWidth="1"/>
    <col min="4103" max="4104" width="11.44140625" customWidth="1"/>
    <col min="4105" max="4105" width="10.21875" customWidth="1"/>
    <col min="4109" max="4110" width="12.77734375" customWidth="1"/>
    <col min="4111" max="4111" width="17.77734375" customWidth="1"/>
    <col min="4112" max="4112" width="13.21875" customWidth="1"/>
    <col min="4113" max="4113" width="16.77734375" customWidth="1"/>
    <col min="4355" max="4355" width="16.21875" customWidth="1"/>
    <col min="4356" max="4356" width="12.21875" customWidth="1"/>
    <col min="4357" max="4358" width="12.77734375" customWidth="1"/>
    <col min="4359" max="4360" width="11.44140625" customWidth="1"/>
    <col min="4361" max="4361" width="10.21875" customWidth="1"/>
    <col min="4365" max="4366" width="12.77734375" customWidth="1"/>
    <col min="4367" max="4367" width="17.77734375" customWidth="1"/>
    <col min="4368" max="4368" width="13.21875" customWidth="1"/>
    <col min="4369" max="4369" width="16.77734375" customWidth="1"/>
    <col min="4611" max="4611" width="16.21875" customWidth="1"/>
    <col min="4612" max="4612" width="12.21875" customWidth="1"/>
    <col min="4613" max="4614" width="12.77734375" customWidth="1"/>
    <col min="4615" max="4616" width="11.44140625" customWidth="1"/>
    <col min="4617" max="4617" width="10.21875" customWidth="1"/>
    <col min="4621" max="4622" width="12.77734375" customWidth="1"/>
    <col min="4623" max="4623" width="17.77734375" customWidth="1"/>
    <col min="4624" max="4624" width="13.21875" customWidth="1"/>
    <col min="4625" max="4625" width="16.77734375" customWidth="1"/>
    <col min="4867" max="4867" width="16.21875" customWidth="1"/>
    <col min="4868" max="4868" width="12.21875" customWidth="1"/>
    <col min="4869" max="4870" width="12.77734375" customWidth="1"/>
    <col min="4871" max="4872" width="11.44140625" customWidth="1"/>
    <col min="4873" max="4873" width="10.21875" customWidth="1"/>
    <col min="4877" max="4878" width="12.77734375" customWidth="1"/>
    <col min="4879" max="4879" width="17.77734375" customWidth="1"/>
    <col min="4880" max="4880" width="13.21875" customWidth="1"/>
    <col min="4881" max="4881" width="16.77734375" customWidth="1"/>
    <col min="5123" max="5123" width="16.21875" customWidth="1"/>
    <col min="5124" max="5124" width="12.21875" customWidth="1"/>
    <col min="5125" max="5126" width="12.77734375" customWidth="1"/>
    <col min="5127" max="5128" width="11.44140625" customWidth="1"/>
    <col min="5129" max="5129" width="10.21875" customWidth="1"/>
    <col min="5133" max="5134" width="12.77734375" customWidth="1"/>
    <col min="5135" max="5135" width="17.77734375" customWidth="1"/>
    <col min="5136" max="5136" width="13.21875" customWidth="1"/>
    <col min="5137" max="5137" width="16.77734375" customWidth="1"/>
    <col min="5379" max="5379" width="16.21875" customWidth="1"/>
    <col min="5380" max="5380" width="12.21875" customWidth="1"/>
    <col min="5381" max="5382" width="12.77734375" customWidth="1"/>
    <col min="5383" max="5384" width="11.44140625" customWidth="1"/>
    <col min="5385" max="5385" width="10.21875" customWidth="1"/>
    <col min="5389" max="5390" width="12.77734375" customWidth="1"/>
    <col min="5391" max="5391" width="17.77734375" customWidth="1"/>
    <col min="5392" max="5392" width="13.21875" customWidth="1"/>
    <col min="5393" max="5393" width="16.77734375" customWidth="1"/>
    <col min="5635" max="5635" width="16.21875" customWidth="1"/>
    <col min="5636" max="5636" width="12.21875" customWidth="1"/>
    <col min="5637" max="5638" width="12.77734375" customWidth="1"/>
    <col min="5639" max="5640" width="11.44140625" customWidth="1"/>
    <col min="5641" max="5641" width="10.21875" customWidth="1"/>
    <col min="5645" max="5646" width="12.77734375" customWidth="1"/>
    <col min="5647" max="5647" width="17.77734375" customWidth="1"/>
    <col min="5648" max="5648" width="13.21875" customWidth="1"/>
    <col min="5649" max="5649" width="16.77734375" customWidth="1"/>
    <col min="5891" max="5891" width="16.21875" customWidth="1"/>
    <col min="5892" max="5892" width="12.21875" customWidth="1"/>
    <col min="5893" max="5894" width="12.77734375" customWidth="1"/>
    <col min="5895" max="5896" width="11.44140625" customWidth="1"/>
    <col min="5897" max="5897" width="10.21875" customWidth="1"/>
    <col min="5901" max="5902" width="12.77734375" customWidth="1"/>
    <col min="5903" max="5903" width="17.77734375" customWidth="1"/>
    <col min="5904" max="5904" width="13.21875" customWidth="1"/>
    <col min="5905" max="5905" width="16.77734375" customWidth="1"/>
    <col min="6147" max="6147" width="16.21875" customWidth="1"/>
    <col min="6148" max="6148" width="12.21875" customWidth="1"/>
    <col min="6149" max="6150" width="12.77734375" customWidth="1"/>
    <col min="6151" max="6152" width="11.44140625" customWidth="1"/>
    <col min="6153" max="6153" width="10.21875" customWidth="1"/>
    <col min="6157" max="6158" width="12.77734375" customWidth="1"/>
    <col min="6159" max="6159" width="17.77734375" customWidth="1"/>
    <col min="6160" max="6160" width="13.21875" customWidth="1"/>
    <col min="6161" max="6161" width="16.77734375" customWidth="1"/>
    <col min="6403" max="6403" width="16.21875" customWidth="1"/>
    <col min="6404" max="6404" width="12.21875" customWidth="1"/>
    <col min="6405" max="6406" width="12.77734375" customWidth="1"/>
    <col min="6407" max="6408" width="11.44140625" customWidth="1"/>
    <col min="6409" max="6409" width="10.21875" customWidth="1"/>
    <col min="6413" max="6414" width="12.77734375" customWidth="1"/>
    <col min="6415" max="6415" width="17.77734375" customWidth="1"/>
    <col min="6416" max="6416" width="13.21875" customWidth="1"/>
    <col min="6417" max="6417" width="16.77734375" customWidth="1"/>
    <col min="6659" max="6659" width="16.21875" customWidth="1"/>
    <col min="6660" max="6660" width="12.21875" customWidth="1"/>
    <col min="6661" max="6662" width="12.77734375" customWidth="1"/>
    <col min="6663" max="6664" width="11.44140625" customWidth="1"/>
    <col min="6665" max="6665" width="10.21875" customWidth="1"/>
    <col min="6669" max="6670" width="12.77734375" customWidth="1"/>
    <col min="6671" max="6671" width="17.77734375" customWidth="1"/>
    <col min="6672" max="6672" width="13.21875" customWidth="1"/>
    <col min="6673" max="6673" width="16.77734375" customWidth="1"/>
    <col min="6915" max="6915" width="16.21875" customWidth="1"/>
    <col min="6916" max="6916" width="12.21875" customWidth="1"/>
    <col min="6917" max="6918" width="12.77734375" customWidth="1"/>
    <col min="6919" max="6920" width="11.44140625" customWidth="1"/>
    <col min="6921" max="6921" width="10.21875" customWidth="1"/>
    <col min="6925" max="6926" width="12.77734375" customWidth="1"/>
    <col min="6927" max="6927" width="17.77734375" customWidth="1"/>
    <col min="6928" max="6928" width="13.21875" customWidth="1"/>
    <col min="6929" max="6929" width="16.77734375" customWidth="1"/>
    <col min="7171" max="7171" width="16.21875" customWidth="1"/>
    <col min="7172" max="7172" width="12.21875" customWidth="1"/>
    <col min="7173" max="7174" width="12.77734375" customWidth="1"/>
    <col min="7175" max="7176" width="11.44140625" customWidth="1"/>
    <col min="7177" max="7177" width="10.21875" customWidth="1"/>
    <col min="7181" max="7182" width="12.77734375" customWidth="1"/>
    <col min="7183" max="7183" width="17.77734375" customWidth="1"/>
    <col min="7184" max="7184" width="13.21875" customWidth="1"/>
    <col min="7185" max="7185" width="16.77734375" customWidth="1"/>
    <col min="7427" max="7427" width="16.21875" customWidth="1"/>
    <col min="7428" max="7428" width="12.21875" customWidth="1"/>
    <col min="7429" max="7430" width="12.77734375" customWidth="1"/>
    <col min="7431" max="7432" width="11.44140625" customWidth="1"/>
    <col min="7433" max="7433" width="10.21875" customWidth="1"/>
    <col min="7437" max="7438" width="12.77734375" customWidth="1"/>
    <col min="7439" max="7439" width="17.77734375" customWidth="1"/>
    <col min="7440" max="7440" width="13.21875" customWidth="1"/>
    <col min="7441" max="7441" width="16.77734375" customWidth="1"/>
    <col min="7683" max="7683" width="16.21875" customWidth="1"/>
    <col min="7684" max="7684" width="12.21875" customWidth="1"/>
    <col min="7685" max="7686" width="12.77734375" customWidth="1"/>
    <col min="7687" max="7688" width="11.44140625" customWidth="1"/>
    <col min="7689" max="7689" width="10.21875" customWidth="1"/>
    <col min="7693" max="7694" width="12.77734375" customWidth="1"/>
    <col min="7695" max="7695" width="17.77734375" customWidth="1"/>
    <col min="7696" max="7696" width="13.21875" customWidth="1"/>
    <col min="7697" max="7697" width="16.77734375" customWidth="1"/>
    <col min="7939" max="7939" width="16.21875" customWidth="1"/>
    <col min="7940" max="7940" width="12.21875" customWidth="1"/>
    <col min="7941" max="7942" width="12.77734375" customWidth="1"/>
    <col min="7943" max="7944" width="11.44140625" customWidth="1"/>
    <col min="7945" max="7945" width="10.21875" customWidth="1"/>
    <col min="7949" max="7950" width="12.77734375" customWidth="1"/>
    <col min="7951" max="7951" width="17.77734375" customWidth="1"/>
    <col min="7952" max="7952" width="13.21875" customWidth="1"/>
    <col min="7953" max="7953" width="16.77734375" customWidth="1"/>
    <col min="8195" max="8195" width="16.21875" customWidth="1"/>
    <col min="8196" max="8196" width="12.21875" customWidth="1"/>
    <col min="8197" max="8198" width="12.77734375" customWidth="1"/>
    <col min="8199" max="8200" width="11.44140625" customWidth="1"/>
    <col min="8201" max="8201" width="10.21875" customWidth="1"/>
    <col min="8205" max="8206" width="12.77734375" customWidth="1"/>
    <col min="8207" max="8207" width="17.77734375" customWidth="1"/>
    <col min="8208" max="8208" width="13.21875" customWidth="1"/>
    <col min="8209" max="8209" width="16.77734375" customWidth="1"/>
    <col min="8451" max="8451" width="16.21875" customWidth="1"/>
    <col min="8452" max="8452" width="12.21875" customWidth="1"/>
    <col min="8453" max="8454" width="12.77734375" customWidth="1"/>
    <col min="8455" max="8456" width="11.44140625" customWidth="1"/>
    <col min="8457" max="8457" width="10.21875" customWidth="1"/>
    <col min="8461" max="8462" width="12.77734375" customWidth="1"/>
    <col min="8463" max="8463" width="17.77734375" customWidth="1"/>
    <col min="8464" max="8464" width="13.21875" customWidth="1"/>
    <col min="8465" max="8465" width="16.77734375" customWidth="1"/>
    <col min="8707" max="8707" width="16.21875" customWidth="1"/>
    <col min="8708" max="8708" width="12.21875" customWidth="1"/>
    <col min="8709" max="8710" width="12.77734375" customWidth="1"/>
    <col min="8711" max="8712" width="11.44140625" customWidth="1"/>
    <col min="8713" max="8713" width="10.21875" customWidth="1"/>
    <col min="8717" max="8718" width="12.77734375" customWidth="1"/>
    <col min="8719" max="8719" width="17.77734375" customWidth="1"/>
    <col min="8720" max="8720" width="13.21875" customWidth="1"/>
    <col min="8721" max="8721" width="16.77734375" customWidth="1"/>
    <col min="8963" max="8963" width="16.21875" customWidth="1"/>
    <col min="8964" max="8964" width="12.21875" customWidth="1"/>
    <col min="8965" max="8966" width="12.77734375" customWidth="1"/>
    <col min="8967" max="8968" width="11.44140625" customWidth="1"/>
    <col min="8969" max="8969" width="10.21875" customWidth="1"/>
    <col min="8973" max="8974" width="12.77734375" customWidth="1"/>
    <col min="8975" max="8975" width="17.77734375" customWidth="1"/>
    <col min="8976" max="8976" width="13.21875" customWidth="1"/>
    <col min="8977" max="8977" width="16.77734375" customWidth="1"/>
    <col min="9219" max="9219" width="16.21875" customWidth="1"/>
    <col min="9220" max="9220" width="12.21875" customWidth="1"/>
    <col min="9221" max="9222" width="12.77734375" customWidth="1"/>
    <col min="9223" max="9224" width="11.44140625" customWidth="1"/>
    <col min="9225" max="9225" width="10.21875" customWidth="1"/>
    <col min="9229" max="9230" width="12.77734375" customWidth="1"/>
    <col min="9231" max="9231" width="17.77734375" customWidth="1"/>
    <col min="9232" max="9232" width="13.21875" customWidth="1"/>
    <col min="9233" max="9233" width="16.77734375" customWidth="1"/>
    <col min="9475" max="9475" width="16.21875" customWidth="1"/>
    <col min="9476" max="9476" width="12.21875" customWidth="1"/>
    <col min="9477" max="9478" width="12.77734375" customWidth="1"/>
    <col min="9479" max="9480" width="11.44140625" customWidth="1"/>
    <col min="9481" max="9481" width="10.21875" customWidth="1"/>
    <col min="9485" max="9486" width="12.77734375" customWidth="1"/>
    <col min="9487" max="9487" width="17.77734375" customWidth="1"/>
    <col min="9488" max="9488" width="13.21875" customWidth="1"/>
    <col min="9489" max="9489" width="16.77734375" customWidth="1"/>
    <col min="9731" max="9731" width="16.21875" customWidth="1"/>
    <col min="9732" max="9732" width="12.21875" customWidth="1"/>
    <col min="9733" max="9734" width="12.77734375" customWidth="1"/>
    <col min="9735" max="9736" width="11.44140625" customWidth="1"/>
    <col min="9737" max="9737" width="10.21875" customWidth="1"/>
    <col min="9741" max="9742" width="12.77734375" customWidth="1"/>
    <col min="9743" max="9743" width="17.77734375" customWidth="1"/>
    <col min="9744" max="9744" width="13.21875" customWidth="1"/>
    <col min="9745" max="9745" width="16.77734375" customWidth="1"/>
    <col min="9987" max="9987" width="16.21875" customWidth="1"/>
    <col min="9988" max="9988" width="12.21875" customWidth="1"/>
    <col min="9989" max="9990" width="12.77734375" customWidth="1"/>
    <col min="9991" max="9992" width="11.44140625" customWidth="1"/>
    <col min="9993" max="9993" width="10.21875" customWidth="1"/>
    <col min="9997" max="9998" width="12.77734375" customWidth="1"/>
    <col min="9999" max="9999" width="17.77734375" customWidth="1"/>
    <col min="10000" max="10000" width="13.21875" customWidth="1"/>
    <col min="10001" max="10001" width="16.77734375" customWidth="1"/>
    <col min="10243" max="10243" width="16.21875" customWidth="1"/>
    <col min="10244" max="10244" width="12.21875" customWidth="1"/>
    <col min="10245" max="10246" width="12.77734375" customWidth="1"/>
    <col min="10247" max="10248" width="11.44140625" customWidth="1"/>
    <col min="10249" max="10249" width="10.21875" customWidth="1"/>
    <col min="10253" max="10254" width="12.77734375" customWidth="1"/>
    <col min="10255" max="10255" width="17.77734375" customWidth="1"/>
    <col min="10256" max="10256" width="13.21875" customWidth="1"/>
    <col min="10257" max="10257" width="16.77734375" customWidth="1"/>
    <col min="10499" max="10499" width="16.21875" customWidth="1"/>
    <col min="10500" max="10500" width="12.21875" customWidth="1"/>
    <col min="10501" max="10502" width="12.77734375" customWidth="1"/>
    <col min="10503" max="10504" width="11.44140625" customWidth="1"/>
    <col min="10505" max="10505" width="10.21875" customWidth="1"/>
    <col min="10509" max="10510" width="12.77734375" customWidth="1"/>
    <col min="10511" max="10511" width="17.77734375" customWidth="1"/>
    <col min="10512" max="10512" width="13.21875" customWidth="1"/>
    <col min="10513" max="10513" width="16.77734375" customWidth="1"/>
    <col min="10755" max="10755" width="16.21875" customWidth="1"/>
    <col min="10756" max="10756" width="12.21875" customWidth="1"/>
    <col min="10757" max="10758" width="12.77734375" customWidth="1"/>
    <col min="10759" max="10760" width="11.44140625" customWidth="1"/>
    <col min="10761" max="10761" width="10.21875" customWidth="1"/>
    <col min="10765" max="10766" width="12.77734375" customWidth="1"/>
    <col min="10767" max="10767" width="17.77734375" customWidth="1"/>
    <col min="10768" max="10768" width="13.21875" customWidth="1"/>
    <col min="10769" max="10769" width="16.77734375" customWidth="1"/>
    <col min="11011" max="11011" width="16.21875" customWidth="1"/>
    <col min="11012" max="11012" width="12.21875" customWidth="1"/>
    <col min="11013" max="11014" width="12.77734375" customWidth="1"/>
    <col min="11015" max="11016" width="11.44140625" customWidth="1"/>
    <col min="11017" max="11017" width="10.21875" customWidth="1"/>
    <col min="11021" max="11022" width="12.77734375" customWidth="1"/>
    <col min="11023" max="11023" width="17.77734375" customWidth="1"/>
    <col min="11024" max="11024" width="13.21875" customWidth="1"/>
    <col min="11025" max="11025" width="16.77734375" customWidth="1"/>
    <col min="11267" max="11267" width="16.21875" customWidth="1"/>
    <col min="11268" max="11268" width="12.21875" customWidth="1"/>
    <col min="11269" max="11270" width="12.77734375" customWidth="1"/>
    <col min="11271" max="11272" width="11.44140625" customWidth="1"/>
    <col min="11273" max="11273" width="10.21875" customWidth="1"/>
    <col min="11277" max="11278" width="12.77734375" customWidth="1"/>
    <col min="11279" max="11279" width="17.77734375" customWidth="1"/>
    <col min="11280" max="11280" width="13.21875" customWidth="1"/>
    <col min="11281" max="11281" width="16.77734375" customWidth="1"/>
    <col min="11523" max="11523" width="16.21875" customWidth="1"/>
    <col min="11524" max="11524" width="12.21875" customWidth="1"/>
    <col min="11525" max="11526" width="12.77734375" customWidth="1"/>
    <col min="11527" max="11528" width="11.44140625" customWidth="1"/>
    <col min="11529" max="11529" width="10.21875" customWidth="1"/>
    <col min="11533" max="11534" width="12.77734375" customWidth="1"/>
    <col min="11535" max="11535" width="17.77734375" customWidth="1"/>
    <col min="11536" max="11536" width="13.21875" customWidth="1"/>
    <col min="11537" max="11537" width="16.77734375" customWidth="1"/>
    <col min="11779" max="11779" width="16.21875" customWidth="1"/>
    <col min="11780" max="11780" width="12.21875" customWidth="1"/>
    <col min="11781" max="11782" width="12.77734375" customWidth="1"/>
    <col min="11783" max="11784" width="11.44140625" customWidth="1"/>
    <col min="11785" max="11785" width="10.21875" customWidth="1"/>
    <col min="11789" max="11790" width="12.77734375" customWidth="1"/>
    <col min="11791" max="11791" width="17.77734375" customWidth="1"/>
    <col min="11792" max="11792" width="13.21875" customWidth="1"/>
    <col min="11793" max="11793" width="16.77734375" customWidth="1"/>
    <col min="12035" max="12035" width="16.21875" customWidth="1"/>
    <col min="12036" max="12036" width="12.21875" customWidth="1"/>
    <col min="12037" max="12038" width="12.77734375" customWidth="1"/>
    <col min="12039" max="12040" width="11.44140625" customWidth="1"/>
    <col min="12041" max="12041" width="10.21875" customWidth="1"/>
    <col min="12045" max="12046" width="12.77734375" customWidth="1"/>
    <col min="12047" max="12047" width="17.77734375" customWidth="1"/>
    <col min="12048" max="12048" width="13.21875" customWidth="1"/>
    <col min="12049" max="12049" width="16.77734375" customWidth="1"/>
    <col min="12291" max="12291" width="16.21875" customWidth="1"/>
    <col min="12292" max="12292" width="12.21875" customWidth="1"/>
    <col min="12293" max="12294" width="12.77734375" customWidth="1"/>
    <col min="12295" max="12296" width="11.44140625" customWidth="1"/>
    <col min="12297" max="12297" width="10.21875" customWidth="1"/>
    <col min="12301" max="12302" width="12.77734375" customWidth="1"/>
    <col min="12303" max="12303" width="17.77734375" customWidth="1"/>
    <col min="12304" max="12304" width="13.21875" customWidth="1"/>
    <col min="12305" max="12305" width="16.77734375" customWidth="1"/>
    <col min="12547" max="12547" width="16.21875" customWidth="1"/>
    <col min="12548" max="12548" width="12.21875" customWidth="1"/>
    <col min="12549" max="12550" width="12.77734375" customWidth="1"/>
    <col min="12551" max="12552" width="11.44140625" customWidth="1"/>
    <col min="12553" max="12553" width="10.21875" customWidth="1"/>
    <col min="12557" max="12558" width="12.77734375" customWidth="1"/>
    <col min="12559" max="12559" width="17.77734375" customWidth="1"/>
    <col min="12560" max="12560" width="13.21875" customWidth="1"/>
    <col min="12561" max="12561" width="16.77734375" customWidth="1"/>
    <col min="12803" max="12803" width="16.21875" customWidth="1"/>
    <col min="12804" max="12804" width="12.21875" customWidth="1"/>
    <col min="12805" max="12806" width="12.77734375" customWidth="1"/>
    <col min="12807" max="12808" width="11.44140625" customWidth="1"/>
    <col min="12809" max="12809" width="10.21875" customWidth="1"/>
    <col min="12813" max="12814" width="12.77734375" customWidth="1"/>
    <col min="12815" max="12815" width="17.77734375" customWidth="1"/>
    <col min="12816" max="12816" width="13.21875" customWidth="1"/>
    <col min="12817" max="12817" width="16.77734375" customWidth="1"/>
    <col min="13059" max="13059" width="16.21875" customWidth="1"/>
    <col min="13060" max="13060" width="12.21875" customWidth="1"/>
    <col min="13061" max="13062" width="12.77734375" customWidth="1"/>
    <col min="13063" max="13064" width="11.44140625" customWidth="1"/>
    <col min="13065" max="13065" width="10.21875" customWidth="1"/>
    <col min="13069" max="13070" width="12.77734375" customWidth="1"/>
    <col min="13071" max="13071" width="17.77734375" customWidth="1"/>
    <col min="13072" max="13072" width="13.21875" customWidth="1"/>
    <col min="13073" max="13073" width="16.77734375" customWidth="1"/>
    <col min="13315" max="13315" width="16.21875" customWidth="1"/>
    <col min="13316" max="13316" width="12.21875" customWidth="1"/>
    <col min="13317" max="13318" width="12.77734375" customWidth="1"/>
    <col min="13319" max="13320" width="11.44140625" customWidth="1"/>
    <col min="13321" max="13321" width="10.21875" customWidth="1"/>
    <col min="13325" max="13326" width="12.77734375" customWidth="1"/>
    <col min="13327" max="13327" width="17.77734375" customWidth="1"/>
    <col min="13328" max="13328" width="13.21875" customWidth="1"/>
    <col min="13329" max="13329" width="16.77734375" customWidth="1"/>
    <col min="13571" max="13571" width="16.21875" customWidth="1"/>
    <col min="13572" max="13572" width="12.21875" customWidth="1"/>
    <col min="13573" max="13574" width="12.77734375" customWidth="1"/>
    <col min="13575" max="13576" width="11.44140625" customWidth="1"/>
    <col min="13577" max="13577" width="10.21875" customWidth="1"/>
    <col min="13581" max="13582" width="12.77734375" customWidth="1"/>
    <col min="13583" max="13583" width="17.77734375" customWidth="1"/>
    <col min="13584" max="13584" width="13.21875" customWidth="1"/>
    <col min="13585" max="13585" width="16.77734375" customWidth="1"/>
    <col min="13827" max="13827" width="16.21875" customWidth="1"/>
    <col min="13828" max="13828" width="12.21875" customWidth="1"/>
    <col min="13829" max="13830" width="12.77734375" customWidth="1"/>
    <col min="13831" max="13832" width="11.44140625" customWidth="1"/>
    <col min="13833" max="13833" width="10.21875" customWidth="1"/>
    <col min="13837" max="13838" width="12.77734375" customWidth="1"/>
    <col min="13839" max="13839" width="17.77734375" customWidth="1"/>
    <col min="13840" max="13840" width="13.21875" customWidth="1"/>
    <col min="13841" max="13841" width="16.77734375" customWidth="1"/>
    <col min="14083" max="14083" width="16.21875" customWidth="1"/>
    <col min="14084" max="14084" width="12.21875" customWidth="1"/>
    <col min="14085" max="14086" width="12.77734375" customWidth="1"/>
    <col min="14087" max="14088" width="11.44140625" customWidth="1"/>
    <col min="14089" max="14089" width="10.21875" customWidth="1"/>
    <col min="14093" max="14094" width="12.77734375" customWidth="1"/>
    <col min="14095" max="14095" width="17.77734375" customWidth="1"/>
    <col min="14096" max="14096" width="13.21875" customWidth="1"/>
    <col min="14097" max="14097" width="16.77734375" customWidth="1"/>
    <col min="14339" max="14339" width="16.21875" customWidth="1"/>
    <col min="14340" max="14340" width="12.21875" customWidth="1"/>
    <col min="14341" max="14342" width="12.77734375" customWidth="1"/>
    <col min="14343" max="14344" width="11.44140625" customWidth="1"/>
    <col min="14345" max="14345" width="10.21875" customWidth="1"/>
    <col min="14349" max="14350" width="12.77734375" customWidth="1"/>
    <col min="14351" max="14351" width="17.77734375" customWidth="1"/>
    <col min="14352" max="14352" width="13.21875" customWidth="1"/>
    <col min="14353" max="14353" width="16.77734375" customWidth="1"/>
    <col min="14595" max="14595" width="16.21875" customWidth="1"/>
    <col min="14596" max="14596" width="12.21875" customWidth="1"/>
    <col min="14597" max="14598" width="12.77734375" customWidth="1"/>
    <col min="14599" max="14600" width="11.44140625" customWidth="1"/>
    <col min="14601" max="14601" width="10.21875" customWidth="1"/>
    <col min="14605" max="14606" width="12.77734375" customWidth="1"/>
    <col min="14607" max="14607" width="17.77734375" customWidth="1"/>
    <col min="14608" max="14608" width="13.21875" customWidth="1"/>
    <col min="14609" max="14609" width="16.77734375" customWidth="1"/>
    <col min="14851" max="14851" width="16.21875" customWidth="1"/>
    <col min="14852" max="14852" width="12.21875" customWidth="1"/>
    <col min="14853" max="14854" width="12.77734375" customWidth="1"/>
    <col min="14855" max="14856" width="11.44140625" customWidth="1"/>
    <col min="14857" max="14857" width="10.21875" customWidth="1"/>
    <col min="14861" max="14862" width="12.77734375" customWidth="1"/>
    <col min="14863" max="14863" width="17.77734375" customWidth="1"/>
    <col min="14864" max="14864" width="13.21875" customWidth="1"/>
    <col min="14865" max="14865" width="16.77734375" customWidth="1"/>
    <col min="15107" max="15107" width="16.21875" customWidth="1"/>
    <col min="15108" max="15108" width="12.21875" customWidth="1"/>
    <col min="15109" max="15110" width="12.77734375" customWidth="1"/>
    <col min="15111" max="15112" width="11.44140625" customWidth="1"/>
    <col min="15113" max="15113" width="10.21875" customWidth="1"/>
    <col min="15117" max="15118" width="12.77734375" customWidth="1"/>
    <col min="15119" max="15119" width="17.77734375" customWidth="1"/>
    <col min="15120" max="15120" width="13.21875" customWidth="1"/>
    <col min="15121" max="15121" width="16.77734375" customWidth="1"/>
    <col min="15363" max="15363" width="16.21875" customWidth="1"/>
    <col min="15364" max="15364" width="12.21875" customWidth="1"/>
    <col min="15365" max="15366" width="12.77734375" customWidth="1"/>
    <col min="15367" max="15368" width="11.44140625" customWidth="1"/>
    <col min="15369" max="15369" width="10.21875" customWidth="1"/>
    <col min="15373" max="15374" width="12.77734375" customWidth="1"/>
    <col min="15375" max="15375" width="17.77734375" customWidth="1"/>
    <col min="15376" max="15376" width="13.21875" customWidth="1"/>
    <col min="15377" max="15377" width="16.77734375" customWidth="1"/>
    <col min="15619" max="15619" width="16.21875" customWidth="1"/>
    <col min="15620" max="15620" width="12.21875" customWidth="1"/>
    <col min="15621" max="15622" width="12.77734375" customWidth="1"/>
    <col min="15623" max="15624" width="11.44140625" customWidth="1"/>
    <col min="15625" max="15625" width="10.21875" customWidth="1"/>
    <col min="15629" max="15630" width="12.77734375" customWidth="1"/>
    <col min="15631" max="15631" width="17.77734375" customWidth="1"/>
    <col min="15632" max="15632" width="13.21875" customWidth="1"/>
    <col min="15633" max="15633" width="16.77734375" customWidth="1"/>
    <col min="15875" max="15875" width="16.21875" customWidth="1"/>
    <col min="15876" max="15876" width="12.21875" customWidth="1"/>
    <col min="15877" max="15878" width="12.77734375" customWidth="1"/>
    <col min="15879" max="15880" width="11.44140625" customWidth="1"/>
    <col min="15881" max="15881" width="10.21875" customWidth="1"/>
    <col min="15885" max="15886" width="12.77734375" customWidth="1"/>
    <col min="15887" max="15887" width="17.77734375" customWidth="1"/>
    <col min="15888" max="15888" width="13.21875" customWidth="1"/>
    <col min="15889" max="15889" width="16.77734375" customWidth="1"/>
    <col min="16131" max="16131" width="16.21875" customWidth="1"/>
    <col min="16132" max="16132" width="12.21875" customWidth="1"/>
    <col min="16133" max="16134" width="12.77734375" customWidth="1"/>
    <col min="16135" max="16136" width="11.44140625" customWidth="1"/>
    <col min="16137" max="16137" width="10.21875" customWidth="1"/>
    <col min="16141" max="16142" width="12.77734375" customWidth="1"/>
    <col min="16143" max="16143" width="17.77734375" customWidth="1"/>
    <col min="16144" max="16144" width="13.21875" customWidth="1"/>
    <col min="16145" max="16145" width="16.77734375" customWidth="1"/>
  </cols>
  <sheetData>
    <row r="2" spans="1:17" x14ac:dyDescent="0.3">
      <c r="A2" s="146" t="s">
        <v>160</v>
      </c>
      <c r="D2" s="147" t="s">
        <v>197</v>
      </c>
    </row>
    <row r="4" spans="1:17" x14ac:dyDescent="0.3">
      <c r="B4" s="59"/>
      <c r="C4" s="77" t="s">
        <v>169</v>
      </c>
      <c r="D4" s="184" t="s">
        <v>60</v>
      </c>
      <c r="E4" s="184"/>
      <c r="F4" s="178" t="str">
        <f>"Implied EV-"&amp;D2</f>
        <v>Implied EV-BHEL</v>
      </c>
      <c r="G4" s="178"/>
      <c r="H4" s="179" t="s">
        <v>27</v>
      </c>
      <c r="I4" s="179" t="s">
        <v>61</v>
      </c>
      <c r="J4" s="176"/>
      <c r="K4" s="179" t="s">
        <v>62</v>
      </c>
      <c r="L4" s="179" t="s">
        <v>63</v>
      </c>
      <c r="M4" s="178" t="str">
        <f>"Implied Equity-"&amp;D2</f>
        <v>Implied Equity-BHEL</v>
      </c>
      <c r="N4" s="178"/>
      <c r="O4" s="179" t="s">
        <v>64</v>
      </c>
      <c r="P4" s="178" t="str">
        <f>"Implied Per Share Value-"&amp;D2</f>
        <v>Implied Per Share Value-BHEL</v>
      </c>
      <c r="Q4" s="178"/>
    </row>
    <row r="5" spans="1:17" x14ac:dyDescent="0.3">
      <c r="B5" s="59" t="s">
        <v>65</v>
      </c>
      <c r="C5" s="77" t="s">
        <v>170</v>
      </c>
      <c r="D5" s="60" t="s">
        <v>66</v>
      </c>
      <c r="E5" s="60" t="s">
        <v>67</v>
      </c>
      <c r="F5" s="59" t="s">
        <v>66</v>
      </c>
      <c r="G5" s="59" t="s">
        <v>67</v>
      </c>
      <c r="H5" s="179"/>
      <c r="I5" s="179"/>
      <c r="J5" s="176"/>
      <c r="K5" s="179"/>
      <c r="L5" s="179"/>
      <c r="M5" s="59" t="s">
        <v>66</v>
      </c>
      <c r="N5" s="59" t="s">
        <v>67</v>
      </c>
      <c r="O5" s="179"/>
      <c r="P5" s="59" t="s">
        <v>66</v>
      </c>
      <c r="Q5" s="59" t="s">
        <v>67</v>
      </c>
    </row>
    <row r="6" spans="1:17" x14ac:dyDescent="0.3">
      <c r="H6" s="61"/>
      <c r="I6" s="61"/>
      <c r="J6" s="61"/>
      <c r="K6" s="61"/>
      <c r="L6" s="61"/>
      <c r="O6" s="61"/>
    </row>
    <row r="7" spans="1:17" x14ac:dyDescent="0.3">
      <c r="A7" t="s">
        <v>268</v>
      </c>
      <c r="B7" s="62">
        <f>BHEL!L71</f>
        <v>20951</v>
      </c>
      <c r="C7" s="62">
        <f ca="1">Output!M16</f>
        <v>77.318423416483142</v>
      </c>
      <c r="D7" s="63"/>
      <c r="E7" s="63"/>
      <c r="F7" s="64">
        <f ca="1">B7*C7</f>
        <v>1619898.2889987384</v>
      </c>
      <c r="G7" s="64"/>
      <c r="H7" s="65">
        <f>BHEL!F20</f>
        <v>0</v>
      </c>
      <c r="I7" s="65">
        <f>BHEL!E25</f>
        <v>88080</v>
      </c>
      <c r="J7" s="65">
        <f>SUM(BHEL!F28:F29)</f>
        <v>4451.6000000000004</v>
      </c>
      <c r="K7" s="65">
        <f>BHEL!F30</f>
        <v>61574.700000000004</v>
      </c>
      <c r="L7" s="65">
        <f>BHEL!F31</f>
        <v>2556.6999999999998</v>
      </c>
      <c r="M7" s="66">
        <f ca="1">F7-H7-I7-J7+K7+L7</f>
        <v>1591498.0889987382</v>
      </c>
      <c r="N7" s="66"/>
      <c r="O7" s="67">
        <f>BHEL!C17</f>
        <v>3482.0633549999998</v>
      </c>
      <c r="P7" s="68">
        <f ca="1">M7/O7</f>
        <v>457.05604026803763</v>
      </c>
      <c r="Q7" s="68"/>
    </row>
    <row r="8" spans="1:17" x14ac:dyDescent="0.3">
      <c r="A8" t="s">
        <v>269</v>
      </c>
      <c r="B8" s="62">
        <f>BHEL!M71</f>
        <v>39844</v>
      </c>
      <c r="C8" s="62">
        <f ca="1">Output!R16</f>
        <v>61.192602561892386</v>
      </c>
      <c r="D8" s="63"/>
      <c r="E8" s="63"/>
      <c r="F8" s="64">
        <f ca="1">B8*C8</f>
        <v>2438158.0564760403</v>
      </c>
      <c r="G8" s="64"/>
      <c r="H8" s="65">
        <f>BHEL!F21</f>
        <v>0</v>
      </c>
      <c r="I8" s="65">
        <f>BHEL!E25</f>
        <v>88080</v>
      </c>
      <c r="J8" s="65">
        <f>SUM(BHEL!F28:F29)</f>
        <v>4451.6000000000004</v>
      </c>
      <c r="K8" s="65">
        <f>BHEL!F30</f>
        <v>61574.700000000004</v>
      </c>
      <c r="L8" s="65">
        <f>BHEL!F31</f>
        <v>2556.6999999999998</v>
      </c>
      <c r="M8" s="66">
        <f ca="1">F8-H8-I8-J8+K8+L8</f>
        <v>2409757.8564760406</v>
      </c>
      <c r="N8" s="66"/>
      <c r="O8" s="67">
        <f>BHEL!C17</f>
        <v>3482.0633549999998</v>
      </c>
      <c r="P8" s="68">
        <f ca="1">M8/O8</f>
        <v>692.04882588244595</v>
      </c>
      <c r="Q8" s="68"/>
    </row>
    <row r="9" spans="1:17" ht="15" thickBot="1" x14ac:dyDescent="0.35"/>
    <row r="10" spans="1:17" ht="15" thickBot="1" x14ac:dyDescent="0.35">
      <c r="M10" t="str">
        <f>D2&amp;" Valuation Range as per Trading Comps"</f>
        <v>BHEL Valuation Range as per Trading Comps</v>
      </c>
      <c r="P10" s="69"/>
      <c r="Q10" s="70"/>
    </row>
    <row r="14" spans="1:17" x14ac:dyDescent="0.3">
      <c r="A14" s="71" t="str">
        <f>"Calculation of Diluted Shares-"&amp;D2</f>
        <v>Calculation of Diluted Shares-BHEL</v>
      </c>
      <c r="B14" s="71"/>
      <c r="C14" s="71"/>
      <c r="D14" s="71"/>
    </row>
    <row r="16" spans="1:17" x14ac:dyDescent="0.3">
      <c r="A16" t="s">
        <v>68</v>
      </c>
      <c r="D16" s="72"/>
    </row>
    <row r="17" spans="1:8" ht="16.8" x14ac:dyDescent="0.45">
      <c r="A17" t="s">
        <v>69</v>
      </c>
      <c r="D17" s="21"/>
    </row>
    <row r="20" spans="1:8" ht="15" thickBot="1" x14ac:dyDescent="0.35">
      <c r="A20" t="str">
        <f>"Market Price Per Share-"&amp;D2</f>
        <v>Market Price Per Share-BHEL</v>
      </c>
      <c r="D20" s="72"/>
    </row>
    <row r="21" spans="1:8" ht="17.399999999999999" thickBot="1" x14ac:dyDescent="0.5">
      <c r="A21" s="185" t="s">
        <v>141</v>
      </c>
      <c r="B21" s="186"/>
      <c r="C21" s="186"/>
      <c r="D21" s="186"/>
      <c r="E21" s="186"/>
      <c r="F21" s="186"/>
      <c r="G21" s="186"/>
      <c r="H21" s="187"/>
    </row>
    <row r="22" spans="1:8" ht="16.8" x14ac:dyDescent="0.45">
      <c r="A22" s="129"/>
      <c r="B22" s="13"/>
      <c r="C22" s="13" t="s">
        <v>5</v>
      </c>
      <c r="D22" s="3"/>
      <c r="E22" s="119" t="s">
        <v>6</v>
      </c>
      <c r="F22" s="119"/>
      <c r="G22" s="119"/>
      <c r="H22" s="14" t="s">
        <v>7</v>
      </c>
    </row>
    <row r="23" spans="1:8" ht="17.399999999999999" thickBot="1" x14ac:dyDescent="0.5">
      <c r="A23" s="130"/>
      <c r="B23" s="16" t="s">
        <v>9</v>
      </c>
      <c r="C23" s="16" t="s">
        <v>10</v>
      </c>
      <c r="D23" s="16" t="s">
        <v>11</v>
      </c>
      <c r="E23" s="16" t="s">
        <v>12</v>
      </c>
      <c r="F23" s="16" t="s">
        <v>13</v>
      </c>
      <c r="G23" s="17" t="s">
        <v>14</v>
      </c>
      <c r="H23" s="18" t="s">
        <v>15</v>
      </c>
    </row>
    <row r="24" spans="1:8" ht="16.8" x14ac:dyDescent="0.45">
      <c r="A24" s="131"/>
      <c r="B24" s="132"/>
      <c r="C24" s="19"/>
      <c r="D24" s="20" t="str">
        <f>IF(C24&lt;$D$20,"Yes","No")</f>
        <v>No</v>
      </c>
      <c r="E24" s="21">
        <f>IF(D24="Yes",B24,0)</f>
        <v>0</v>
      </c>
      <c r="F24" s="22">
        <f>E24*C24</f>
        <v>0</v>
      </c>
      <c r="G24" s="21">
        <f>IFERROR(F24/D20,0)</f>
        <v>0</v>
      </c>
      <c r="H24" s="23">
        <f>E24-G24</f>
        <v>0</v>
      </c>
    </row>
    <row r="25" spans="1:8" ht="16.8" x14ac:dyDescent="0.45">
      <c r="A25" s="131"/>
      <c r="B25" s="128"/>
      <c r="C25" s="19"/>
      <c r="D25" s="20" t="str">
        <f>IF(C25&lt;$D$20,"Yes","No")</f>
        <v>No</v>
      </c>
      <c r="E25" s="21">
        <f>IF(D25="Yes",B25,0)</f>
        <v>0</v>
      </c>
      <c r="F25" s="22">
        <f>E25*C25</f>
        <v>0</v>
      </c>
      <c r="G25" s="21">
        <f>IFERROR(F25/D21,0)</f>
        <v>0</v>
      </c>
      <c r="H25" s="23">
        <f>E25-G25</f>
        <v>0</v>
      </c>
    </row>
    <row r="26" spans="1:8" ht="17.399999999999999" thickBot="1" x14ac:dyDescent="0.5">
      <c r="A26" s="130"/>
      <c r="B26" s="17"/>
      <c r="C26" s="17"/>
      <c r="D26" s="17"/>
      <c r="E26" s="17"/>
      <c r="F26" s="17"/>
      <c r="G26" s="17"/>
      <c r="H26" s="34">
        <f>SUM(H24:H25)</f>
        <v>0</v>
      </c>
    </row>
    <row r="28" spans="1:8" ht="15" thickBot="1" x14ac:dyDescent="0.35"/>
    <row r="29" spans="1:8" ht="17.399999999999999" thickBot="1" x14ac:dyDescent="0.5">
      <c r="A29" s="9" t="s">
        <v>136</v>
      </c>
      <c r="B29" s="11"/>
    </row>
    <row r="30" spans="1:8" ht="16.8" x14ac:dyDescent="0.45">
      <c r="A30" s="39" t="s">
        <v>32</v>
      </c>
      <c r="B30" s="134"/>
    </row>
    <row r="31" spans="1:8" ht="16.8" x14ac:dyDescent="0.45">
      <c r="A31" s="7"/>
      <c r="B31" s="118"/>
    </row>
    <row r="32" spans="1:8" ht="16.8" x14ac:dyDescent="0.45">
      <c r="A32" s="7"/>
      <c r="B32" s="118"/>
    </row>
    <row r="33" spans="1:6" ht="17.399999999999999" thickBot="1" x14ac:dyDescent="0.5">
      <c r="A33" s="24"/>
      <c r="B33" s="45">
        <f>SUM(B31:B32)</f>
        <v>0</v>
      </c>
    </row>
    <row r="34" spans="1:6" ht="15" thickBot="1" x14ac:dyDescent="0.35"/>
    <row r="35" spans="1:6" ht="17.399999999999999" thickBot="1" x14ac:dyDescent="0.5">
      <c r="A35" s="9" t="s">
        <v>154</v>
      </c>
      <c r="B35" s="10"/>
      <c r="C35" s="10"/>
      <c r="D35" s="10"/>
      <c r="E35" s="10"/>
      <c r="F35" s="11"/>
    </row>
    <row r="36" spans="1:6" ht="16.8" x14ac:dyDescent="0.45">
      <c r="A36" s="37"/>
      <c r="B36" s="38"/>
      <c r="C36" s="38"/>
      <c r="D36" s="38"/>
      <c r="E36" s="180" t="s">
        <v>30</v>
      </c>
      <c r="F36" s="182" t="s">
        <v>31</v>
      </c>
    </row>
    <row r="37" spans="1:6" ht="16.8" x14ac:dyDescent="0.45">
      <c r="A37" s="39" t="s">
        <v>32</v>
      </c>
      <c r="B37" s="40" t="s">
        <v>33</v>
      </c>
      <c r="C37" s="40"/>
      <c r="D37" s="40" t="s">
        <v>155</v>
      </c>
      <c r="E37" s="181"/>
      <c r="F37" s="183"/>
    </row>
    <row r="38" spans="1:6" ht="16.8" x14ac:dyDescent="0.45">
      <c r="A38" s="7"/>
      <c r="B38" s="27"/>
      <c r="C38" s="27"/>
      <c r="D38" s="27"/>
      <c r="E38" s="42"/>
      <c r="F38" s="43">
        <f>IF(E38&lt;$D$20,B38/E38,0)</f>
        <v>0</v>
      </c>
    </row>
    <row r="39" spans="1:6" ht="16.8" x14ac:dyDescent="0.45">
      <c r="A39" s="7"/>
      <c r="B39" s="27"/>
      <c r="C39" s="27"/>
      <c r="D39" s="27"/>
      <c r="E39" s="42"/>
      <c r="F39" s="43">
        <f>IF(E39&lt;$D$20,B39/E39,0)</f>
        <v>0</v>
      </c>
    </row>
    <row r="40" spans="1:6" ht="17.399999999999999" thickBot="1" x14ac:dyDescent="0.5">
      <c r="A40" s="24"/>
      <c r="B40" s="44"/>
      <c r="C40" s="44"/>
      <c r="D40" s="44"/>
      <c r="E40" s="44"/>
      <c r="F40" s="45">
        <f>SUM(F38:F39)</f>
        <v>0</v>
      </c>
    </row>
  </sheetData>
  <mergeCells count="12">
    <mergeCell ref="M4:N4"/>
    <mergeCell ref="O4:O5"/>
    <mergeCell ref="P4:Q4"/>
    <mergeCell ref="E36:E37"/>
    <mergeCell ref="F36:F37"/>
    <mergeCell ref="D4:E4"/>
    <mergeCell ref="F4:G4"/>
    <mergeCell ref="H4:H5"/>
    <mergeCell ref="I4:I5"/>
    <mergeCell ref="K4:K5"/>
    <mergeCell ref="L4:L5"/>
    <mergeCell ref="A21:H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showGridLines="0" topLeftCell="M1" zoomScale="139" workbookViewId="0">
      <selection activeCell="V14" sqref="V14"/>
    </sheetView>
  </sheetViews>
  <sheetFormatPr defaultColWidth="8.77734375" defaultRowHeight="14.4" outlineLevelRow="1" x14ac:dyDescent="0.3"/>
  <cols>
    <col min="1" max="1" width="20.109375" customWidth="1"/>
    <col min="3" max="3" width="8.77734375" customWidth="1"/>
    <col min="4" max="4" width="7" bestFit="1" customWidth="1"/>
    <col min="5" max="5" width="10.44140625" bestFit="1" customWidth="1"/>
    <col min="6" max="6" width="13.21875" bestFit="1" customWidth="1"/>
    <col min="7" max="7" width="8.77734375" customWidth="1"/>
    <col min="8" max="8" width="10.44140625" bestFit="1" customWidth="1"/>
    <col min="9" max="10" width="8.77734375" customWidth="1"/>
    <col min="11" max="11" width="1.21875" customWidth="1"/>
    <col min="12" max="15" width="9.44140625" customWidth="1"/>
    <col min="16" max="16" width="0.77734375" customWidth="1"/>
    <col min="17" max="17" width="9.77734375" bestFit="1" customWidth="1"/>
    <col min="18" max="18" width="13.5546875" bestFit="1" customWidth="1"/>
    <col min="19" max="20" width="8.77734375" customWidth="1"/>
    <col min="22" max="22" width="2.21875" customWidth="1"/>
    <col min="24" max="24" width="14" bestFit="1" customWidth="1"/>
    <col min="26" max="26" width="22.21875" bestFit="1" customWidth="1"/>
    <col min="261" max="261" width="18.21875" customWidth="1"/>
    <col min="263" max="263" width="7.44140625" customWidth="1"/>
    <col min="264" max="264" width="7" bestFit="1" customWidth="1"/>
    <col min="265" max="265" width="11" bestFit="1" customWidth="1"/>
    <col min="266" max="266" width="9.44140625" bestFit="1" customWidth="1"/>
    <col min="267" max="270" width="8.77734375" customWidth="1"/>
    <col min="271" max="271" width="1.21875" customWidth="1"/>
    <col min="272" max="273" width="9.44140625" customWidth="1"/>
    <col min="274" max="274" width="0.77734375" customWidth="1"/>
    <col min="275" max="275" width="9.77734375" bestFit="1" customWidth="1"/>
    <col min="276" max="276" width="8.77734375" customWidth="1"/>
    <col min="280" max="280" width="14" bestFit="1" customWidth="1"/>
    <col min="282" max="282" width="22.21875" bestFit="1" customWidth="1"/>
    <col min="517" max="517" width="18.21875" customWidth="1"/>
    <col min="519" max="519" width="7.44140625" customWidth="1"/>
    <col min="520" max="520" width="7" bestFit="1" customWidth="1"/>
    <col min="521" max="521" width="11" bestFit="1" customWidth="1"/>
    <col min="522" max="522" width="9.44140625" bestFit="1" customWidth="1"/>
    <col min="523" max="526" width="8.77734375" customWidth="1"/>
    <col min="527" max="527" width="1.21875" customWidth="1"/>
    <col min="528" max="529" width="9.44140625" customWidth="1"/>
    <col min="530" max="530" width="0.77734375" customWidth="1"/>
    <col min="531" max="531" width="9.77734375" bestFit="1" customWidth="1"/>
    <col min="532" max="532" width="8.77734375" customWidth="1"/>
    <col min="536" max="536" width="14" bestFit="1" customWidth="1"/>
    <col min="538" max="538" width="22.21875" bestFit="1" customWidth="1"/>
    <col min="773" max="773" width="18.21875" customWidth="1"/>
    <col min="775" max="775" width="7.44140625" customWidth="1"/>
    <col min="776" max="776" width="7" bestFit="1" customWidth="1"/>
    <col min="777" max="777" width="11" bestFit="1" customWidth="1"/>
    <col min="778" max="778" width="9.44140625" bestFit="1" customWidth="1"/>
    <col min="779" max="782" width="8.77734375" customWidth="1"/>
    <col min="783" max="783" width="1.21875" customWidth="1"/>
    <col min="784" max="785" width="9.44140625" customWidth="1"/>
    <col min="786" max="786" width="0.77734375" customWidth="1"/>
    <col min="787" max="787" width="9.77734375" bestFit="1" customWidth="1"/>
    <col min="788" max="788" width="8.77734375" customWidth="1"/>
    <col min="792" max="792" width="14" bestFit="1" customWidth="1"/>
    <col min="794" max="794" width="22.21875" bestFit="1" customWidth="1"/>
    <col min="1029" max="1029" width="18.21875" customWidth="1"/>
    <col min="1031" max="1031" width="7.44140625" customWidth="1"/>
    <col min="1032" max="1032" width="7" bestFit="1" customWidth="1"/>
    <col min="1033" max="1033" width="11" bestFit="1" customWidth="1"/>
    <col min="1034" max="1034" width="9.44140625" bestFit="1" customWidth="1"/>
    <col min="1035" max="1038" width="8.77734375" customWidth="1"/>
    <col min="1039" max="1039" width="1.21875" customWidth="1"/>
    <col min="1040" max="1041" width="9.44140625" customWidth="1"/>
    <col min="1042" max="1042" width="0.77734375" customWidth="1"/>
    <col min="1043" max="1043" width="9.77734375" bestFit="1" customWidth="1"/>
    <col min="1044" max="1044" width="8.77734375" customWidth="1"/>
    <col min="1048" max="1048" width="14" bestFit="1" customWidth="1"/>
    <col min="1050" max="1050" width="22.21875" bestFit="1" customWidth="1"/>
    <col min="1285" max="1285" width="18.21875" customWidth="1"/>
    <col min="1287" max="1287" width="7.44140625" customWidth="1"/>
    <col min="1288" max="1288" width="7" bestFit="1" customWidth="1"/>
    <col min="1289" max="1289" width="11" bestFit="1" customWidth="1"/>
    <col min="1290" max="1290" width="9.44140625" bestFit="1" customWidth="1"/>
    <col min="1291" max="1294" width="8.77734375" customWidth="1"/>
    <col min="1295" max="1295" width="1.21875" customWidth="1"/>
    <col min="1296" max="1297" width="9.44140625" customWidth="1"/>
    <col min="1298" max="1298" width="0.77734375" customWidth="1"/>
    <col min="1299" max="1299" width="9.77734375" bestFit="1" customWidth="1"/>
    <col min="1300" max="1300" width="8.77734375" customWidth="1"/>
    <col min="1304" max="1304" width="14" bestFit="1" customWidth="1"/>
    <col min="1306" max="1306" width="22.21875" bestFit="1" customWidth="1"/>
    <col min="1541" max="1541" width="18.21875" customWidth="1"/>
    <col min="1543" max="1543" width="7.44140625" customWidth="1"/>
    <col min="1544" max="1544" width="7" bestFit="1" customWidth="1"/>
    <col min="1545" max="1545" width="11" bestFit="1" customWidth="1"/>
    <col min="1546" max="1546" width="9.44140625" bestFit="1" customWidth="1"/>
    <col min="1547" max="1550" width="8.77734375" customWidth="1"/>
    <col min="1551" max="1551" width="1.21875" customWidth="1"/>
    <col min="1552" max="1553" width="9.44140625" customWidth="1"/>
    <col min="1554" max="1554" width="0.77734375" customWidth="1"/>
    <col min="1555" max="1555" width="9.77734375" bestFit="1" customWidth="1"/>
    <col min="1556" max="1556" width="8.77734375" customWidth="1"/>
    <col min="1560" max="1560" width="14" bestFit="1" customWidth="1"/>
    <col min="1562" max="1562" width="22.21875" bestFit="1" customWidth="1"/>
    <col min="1797" max="1797" width="18.21875" customWidth="1"/>
    <col min="1799" max="1799" width="7.44140625" customWidth="1"/>
    <col min="1800" max="1800" width="7" bestFit="1" customWidth="1"/>
    <col min="1801" max="1801" width="11" bestFit="1" customWidth="1"/>
    <col min="1802" max="1802" width="9.44140625" bestFit="1" customWidth="1"/>
    <col min="1803" max="1806" width="8.77734375" customWidth="1"/>
    <col min="1807" max="1807" width="1.21875" customWidth="1"/>
    <col min="1808" max="1809" width="9.44140625" customWidth="1"/>
    <col min="1810" max="1810" width="0.77734375" customWidth="1"/>
    <col min="1811" max="1811" width="9.77734375" bestFit="1" customWidth="1"/>
    <col min="1812" max="1812" width="8.77734375" customWidth="1"/>
    <col min="1816" max="1816" width="14" bestFit="1" customWidth="1"/>
    <col min="1818" max="1818" width="22.21875" bestFit="1" customWidth="1"/>
    <col min="2053" max="2053" width="18.21875" customWidth="1"/>
    <col min="2055" max="2055" width="7.44140625" customWidth="1"/>
    <col min="2056" max="2056" width="7" bestFit="1" customWidth="1"/>
    <col min="2057" max="2057" width="11" bestFit="1" customWidth="1"/>
    <col min="2058" max="2058" width="9.44140625" bestFit="1" customWidth="1"/>
    <col min="2059" max="2062" width="8.77734375" customWidth="1"/>
    <col min="2063" max="2063" width="1.21875" customWidth="1"/>
    <col min="2064" max="2065" width="9.44140625" customWidth="1"/>
    <col min="2066" max="2066" width="0.77734375" customWidth="1"/>
    <col min="2067" max="2067" width="9.77734375" bestFit="1" customWidth="1"/>
    <col min="2068" max="2068" width="8.77734375" customWidth="1"/>
    <col min="2072" max="2072" width="14" bestFit="1" customWidth="1"/>
    <col min="2074" max="2074" width="22.21875" bestFit="1" customWidth="1"/>
    <col min="2309" max="2309" width="18.21875" customWidth="1"/>
    <col min="2311" max="2311" width="7.44140625" customWidth="1"/>
    <col min="2312" max="2312" width="7" bestFit="1" customWidth="1"/>
    <col min="2313" max="2313" width="11" bestFit="1" customWidth="1"/>
    <col min="2314" max="2314" width="9.44140625" bestFit="1" customWidth="1"/>
    <col min="2315" max="2318" width="8.77734375" customWidth="1"/>
    <col min="2319" max="2319" width="1.21875" customWidth="1"/>
    <col min="2320" max="2321" width="9.44140625" customWidth="1"/>
    <col min="2322" max="2322" width="0.77734375" customWidth="1"/>
    <col min="2323" max="2323" width="9.77734375" bestFit="1" customWidth="1"/>
    <col min="2324" max="2324" width="8.77734375" customWidth="1"/>
    <col min="2328" max="2328" width="14" bestFit="1" customWidth="1"/>
    <col min="2330" max="2330" width="22.21875" bestFit="1" customWidth="1"/>
    <col min="2565" max="2565" width="18.21875" customWidth="1"/>
    <col min="2567" max="2567" width="7.44140625" customWidth="1"/>
    <col min="2568" max="2568" width="7" bestFit="1" customWidth="1"/>
    <col min="2569" max="2569" width="11" bestFit="1" customWidth="1"/>
    <col min="2570" max="2570" width="9.44140625" bestFit="1" customWidth="1"/>
    <col min="2571" max="2574" width="8.77734375" customWidth="1"/>
    <col min="2575" max="2575" width="1.21875" customWidth="1"/>
    <col min="2576" max="2577" width="9.44140625" customWidth="1"/>
    <col min="2578" max="2578" width="0.77734375" customWidth="1"/>
    <col min="2579" max="2579" width="9.77734375" bestFit="1" customWidth="1"/>
    <col min="2580" max="2580" width="8.77734375" customWidth="1"/>
    <col min="2584" max="2584" width="14" bestFit="1" customWidth="1"/>
    <col min="2586" max="2586" width="22.21875" bestFit="1" customWidth="1"/>
    <col min="2821" max="2821" width="18.21875" customWidth="1"/>
    <col min="2823" max="2823" width="7.44140625" customWidth="1"/>
    <col min="2824" max="2824" width="7" bestFit="1" customWidth="1"/>
    <col min="2825" max="2825" width="11" bestFit="1" customWidth="1"/>
    <col min="2826" max="2826" width="9.44140625" bestFit="1" customWidth="1"/>
    <col min="2827" max="2830" width="8.77734375" customWidth="1"/>
    <col min="2831" max="2831" width="1.21875" customWidth="1"/>
    <col min="2832" max="2833" width="9.44140625" customWidth="1"/>
    <col min="2834" max="2834" width="0.77734375" customWidth="1"/>
    <col min="2835" max="2835" width="9.77734375" bestFit="1" customWidth="1"/>
    <col min="2836" max="2836" width="8.77734375" customWidth="1"/>
    <col min="2840" max="2840" width="14" bestFit="1" customWidth="1"/>
    <col min="2842" max="2842" width="22.21875" bestFit="1" customWidth="1"/>
    <col min="3077" max="3077" width="18.21875" customWidth="1"/>
    <col min="3079" max="3079" width="7.44140625" customWidth="1"/>
    <col min="3080" max="3080" width="7" bestFit="1" customWidth="1"/>
    <col min="3081" max="3081" width="11" bestFit="1" customWidth="1"/>
    <col min="3082" max="3082" width="9.44140625" bestFit="1" customWidth="1"/>
    <col min="3083" max="3086" width="8.77734375" customWidth="1"/>
    <col min="3087" max="3087" width="1.21875" customWidth="1"/>
    <col min="3088" max="3089" width="9.44140625" customWidth="1"/>
    <col min="3090" max="3090" width="0.77734375" customWidth="1"/>
    <col min="3091" max="3091" width="9.77734375" bestFit="1" customWidth="1"/>
    <col min="3092" max="3092" width="8.77734375" customWidth="1"/>
    <col min="3096" max="3096" width="14" bestFit="1" customWidth="1"/>
    <col min="3098" max="3098" width="22.21875" bestFit="1" customWidth="1"/>
    <col min="3333" max="3333" width="18.21875" customWidth="1"/>
    <col min="3335" max="3335" width="7.44140625" customWidth="1"/>
    <col min="3336" max="3336" width="7" bestFit="1" customWidth="1"/>
    <col min="3337" max="3337" width="11" bestFit="1" customWidth="1"/>
    <col min="3338" max="3338" width="9.44140625" bestFit="1" customWidth="1"/>
    <col min="3339" max="3342" width="8.77734375" customWidth="1"/>
    <col min="3343" max="3343" width="1.21875" customWidth="1"/>
    <col min="3344" max="3345" width="9.44140625" customWidth="1"/>
    <col min="3346" max="3346" width="0.77734375" customWidth="1"/>
    <col min="3347" max="3347" width="9.77734375" bestFit="1" customWidth="1"/>
    <col min="3348" max="3348" width="8.77734375" customWidth="1"/>
    <col min="3352" max="3352" width="14" bestFit="1" customWidth="1"/>
    <col min="3354" max="3354" width="22.21875" bestFit="1" customWidth="1"/>
    <col min="3589" max="3589" width="18.21875" customWidth="1"/>
    <col min="3591" max="3591" width="7.44140625" customWidth="1"/>
    <col min="3592" max="3592" width="7" bestFit="1" customWidth="1"/>
    <col min="3593" max="3593" width="11" bestFit="1" customWidth="1"/>
    <col min="3594" max="3594" width="9.44140625" bestFit="1" customWidth="1"/>
    <col min="3595" max="3598" width="8.77734375" customWidth="1"/>
    <col min="3599" max="3599" width="1.21875" customWidth="1"/>
    <col min="3600" max="3601" width="9.44140625" customWidth="1"/>
    <col min="3602" max="3602" width="0.77734375" customWidth="1"/>
    <col min="3603" max="3603" width="9.77734375" bestFit="1" customWidth="1"/>
    <col min="3604" max="3604" width="8.77734375" customWidth="1"/>
    <col min="3608" max="3608" width="14" bestFit="1" customWidth="1"/>
    <col min="3610" max="3610" width="22.21875" bestFit="1" customWidth="1"/>
    <col min="3845" max="3845" width="18.21875" customWidth="1"/>
    <col min="3847" max="3847" width="7.44140625" customWidth="1"/>
    <col min="3848" max="3848" width="7" bestFit="1" customWidth="1"/>
    <col min="3849" max="3849" width="11" bestFit="1" customWidth="1"/>
    <col min="3850" max="3850" width="9.44140625" bestFit="1" customWidth="1"/>
    <col min="3851" max="3854" width="8.77734375" customWidth="1"/>
    <col min="3855" max="3855" width="1.21875" customWidth="1"/>
    <col min="3856" max="3857" width="9.44140625" customWidth="1"/>
    <col min="3858" max="3858" width="0.77734375" customWidth="1"/>
    <col min="3859" max="3859" width="9.77734375" bestFit="1" customWidth="1"/>
    <col min="3860" max="3860" width="8.77734375" customWidth="1"/>
    <col min="3864" max="3864" width="14" bestFit="1" customWidth="1"/>
    <col min="3866" max="3866" width="22.21875" bestFit="1" customWidth="1"/>
    <col min="4101" max="4101" width="18.21875" customWidth="1"/>
    <col min="4103" max="4103" width="7.44140625" customWidth="1"/>
    <col min="4104" max="4104" width="7" bestFit="1" customWidth="1"/>
    <col min="4105" max="4105" width="11" bestFit="1" customWidth="1"/>
    <col min="4106" max="4106" width="9.44140625" bestFit="1" customWidth="1"/>
    <col min="4107" max="4110" width="8.77734375" customWidth="1"/>
    <col min="4111" max="4111" width="1.21875" customWidth="1"/>
    <col min="4112" max="4113" width="9.44140625" customWidth="1"/>
    <col min="4114" max="4114" width="0.77734375" customWidth="1"/>
    <col min="4115" max="4115" width="9.77734375" bestFit="1" customWidth="1"/>
    <col min="4116" max="4116" width="8.77734375" customWidth="1"/>
    <col min="4120" max="4120" width="14" bestFit="1" customWidth="1"/>
    <col min="4122" max="4122" width="22.21875" bestFit="1" customWidth="1"/>
    <col min="4357" max="4357" width="18.21875" customWidth="1"/>
    <col min="4359" max="4359" width="7.44140625" customWidth="1"/>
    <col min="4360" max="4360" width="7" bestFit="1" customWidth="1"/>
    <col min="4361" max="4361" width="11" bestFit="1" customWidth="1"/>
    <col min="4362" max="4362" width="9.44140625" bestFit="1" customWidth="1"/>
    <col min="4363" max="4366" width="8.77734375" customWidth="1"/>
    <col min="4367" max="4367" width="1.21875" customWidth="1"/>
    <col min="4368" max="4369" width="9.44140625" customWidth="1"/>
    <col min="4370" max="4370" width="0.77734375" customWidth="1"/>
    <col min="4371" max="4371" width="9.77734375" bestFit="1" customWidth="1"/>
    <col min="4372" max="4372" width="8.77734375" customWidth="1"/>
    <col min="4376" max="4376" width="14" bestFit="1" customWidth="1"/>
    <col min="4378" max="4378" width="22.21875" bestFit="1" customWidth="1"/>
    <col min="4613" max="4613" width="18.21875" customWidth="1"/>
    <col min="4615" max="4615" width="7.44140625" customWidth="1"/>
    <col min="4616" max="4616" width="7" bestFit="1" customWidth="1"/>
    <col min="4617" max="4617" width="11" bestFit="1" customWidth="1"/>
    <col min="4618" max="4618" width="9.44140625" bestFit="1" customWidth="1"/>
    <col min="4619" max="4622" width="8.77734375" customWidth="1"/>
    <col min="4623" max="4623" width="1.21875" customWidth="1"/>
    <col min="4624" max="4625" width="9.44140625" customWidth="1"/>
    <col min="4626" max="4626" width="0.77734375" customWidth="1"/>
    <col min="4627" max="4627" width="9.77734375" bestFit="1" customWidth="1"/>
    <col min="4628" max="4628" width="8.77734375" customWidth="1"/>
    <col min="4632" max="4632" width="14" bestFit="1" customWidth="1"/>
    <col min="4634" max="4634" width="22.21875" bestFit="1" customWidth="1"/>
    <col min="4869" max="4869" width="18.21875" customWidth="1"/>
    <col min="4871" max="4871" width="7.44140625" customWidth="1"/>
    <col min="4872" max="4872" width="7" bestFit="1" customWidth="1"/>
    <col min="4873" max="4873" width="11" bestFit="1" customWidth="1"/>
    <col min="4874" max="4874" width="9.44140625" bestFit="1" customWidth="1"/>
    <col min="4875" max="4878" width="8.77734375" customWidth="1"/>
    <col min="4879" max="4879" width="1.21875" customWidth="1"/>
    <col min="4880" max="4881" width="9.44140625" customWidth="1"/>
    <col min="4882" max="4882" width="0.77734375" customWidth="1"/>
    <col min="4883" max="4883" width="9.77734375" bestFit="1" customWidth="1"/>
    <col min="4884" max="4884" width="8.77734375" customWidth="1"/>
    <col min="4888" max="4888" width="14" bestFit="1" customWidth="1"/>
    <col min="4890" max="4890" width="22.21875" bestFit="1" customWidth="1"/>
    <col min="5125" max="5125" width="18.21875" customWidth="1"/>
    <col min="5127" max="5127" width="7.44140625" customWidth="1"/>
    <col min="5128" max="5128" width="7" bestFit="1" customWidth="1"/>
    <col min="5129" max="5129" width="11" bestFit="1" customWidth="1"/>
    <col min="5130" max="5130" width="9.44140625" bestFit="1" customWidth="1"/>
    <col min="5131" max="5134" width="8.77734375" customWidth="1"/>
    <col min="5135" max="5135" width="1.21875" customWidth="1"/>
    <col min="5136" max="5137" width="9.44140625" customWidth="1"/>
    <col min="5138" max="5138" width="0.77734375" customWidth="1"/>
    <col min="5139" max="5139" width="9.77734375" bestFit="1" customWidth="1"/>
    <col min="5140" max="5140" width="8.77734375" customWidth="1"/>
    <col min="5144" max="5144" width="14" bestFit="1" customWidth="1"/>
    <col min="5146" max="5146" width="22.21875" bestFit="1" customWidth="1"/>
    <col min="5381" max="5381" width="18.21875" customWidth="1"/>
    <col min="5383" max="5383" width="7.44140625" customWidth="1"/>
    <col min="5384" max="5384" width="7" bestFit="1" customWidth="1"/>
    <col min="5385" max="5385" width="11" bestFit="1" customWidth="1"/>
    <col min="5386" max="5386" width="9.44140625" bestFit="1" customWidth="1"/>
    <col min="5387" max="5390" width="8.77734375" customWidth="1"/>
    <col min="5391" max="5391" width="1.21875" customWidth="1"/>
    <col min="5392" max="5393" width="9.44140625" customWidth="1"/>
    <col min="5394" max="5394" width="0.77734375" customWidth="1"/>
    <col min="5395" max="5395" width="9.77734375" bestFit="1" customWidth="1"/>
    <col min="5396" max="5396" width="8.77734375" customWidth="1"/>
    <col min="5400" max="5400" width="14" bestFit="1" customWidth="1"/>
    <col min="5402" max="5402" width="22.21875" bestFit="1" customWidth="1"/>
    <col min="5637" max="5637" width="18.21875" customWidth="1"/>
    <col min="5639" max="5639" width="7.44140625" customWidth="1"/>
    <col min="5640" max="5640" width="7" bestFit="1" customWidth="1"/>
    <col min="5641" max="5641" width="11" bestFit="1" customWidth="1"/>
    <col min="5642" max="5642" width="9.44140625" bestFit="1" customWidth="1"/>
    <col min="5643" max="5646" width="8.77734375" customWidth="1"/>
    <col min="5647" max="5647" width="1.21875" customWidth="1"/>
    <col min="5648" max="5649" width="9.44140625" customWidth="1"/>
    <col min="5650" max="5650" width="0.77734375" customWidth="1"/>
    <col min="5651" max="5651" width="9.77734375" bestFit="1" customWidth="1"/>
    <col min="5652" max="5652" width="8.77734375" customWidth="1"/>
    <col min="5656" max="5656" width="14" bestFit="1" customWidth="1"/>
    <col min="5658" max="5658" width="22.21875" bestFit="1" customWidth="1"/>
    <col min="5893" max="5893" width="18.21875" customWidth="1"/>
    <col min="5895" max="5895" width="7.44140625" customWidth="1"/>
    <col min="5896" max="5896" width="7" bestFit="1" customWidth="1"/>
    <col min="5897" max="5897" width="11" bestFit="1" customWidth="1"/>
    <col min="5898" max="5898" width="9.44140625" bestFit="1" customWidth="1"/>
    <col min="5899" max="5902" width="8.77734375" customWidth="1"/>
    <col min="5903" max="5903" width="1.21875" customWidth="1"/>
    <col min="5904" max="5905" width="9.44140625" customWidth="1"/>
    <col min="5906" max="5906" width="0.77734375" customWidth="1"/>
    <col min="5907" max="5907" width="9.77734375" bestFit="1" customWidth="1"/>
    <col min="5908" max="5908" width="8.77734375" customWidth="1"/>
    <col min="5912" max="5912" width="14" bestFit="1" customWidth="1"/>
    <col min="5914" max="5914" width="22.21875" bestFit="1" customWidth="1"/>
    <col min="6149" max="6149" width="18.21875" customWidth="1"/>
    <col min="6151" max="6151" width="7.44140625" customWidth="1"/>
    <col min="6152" max="6152" width="7" bestFit="1" customWidth="1"/>
    <col min="6153" max="6153" width="11" bestFit="1" customWidth="1"/>
    <col min="6154" max="6154" width="9.44140625" bestFit="1" customWidth="1"/>
    <col min="6155" max="6158" width="8.77734375" customWidth="1"/>
    <col min="6159" max="6159" width="1.21875" customWidth="1"/>
    <col min="6160" max="6161" width="9.44140625" customWidth="1"/>
    <col min="6162" max="6162" width="0.77734375" customWidth="1"/>
    <col min="6163" max="6163" width="9.77734375" bestFit="1" customWidth="1"/>
    <col min="6164" max="6164" width="8.77734375" customWidth="1"/>
    <col min="6168" max="6168" width="14" bestFit="1" customWidth="1"/>
    <col min="6170" max="6170" width="22.21875" bestFit="1" customWidth="1"/>
    <col min="6405" max="6405" width="18.21875" customWidth="1"/>
    <col min="6407" max="6407" width="7.44140625" customWidth="1"/>
    <col min="6408" max="6408" width="7" bestFit="1" customWidth="1"/>
    <col min="6409" max="6409" width="11" bestFit="1" customWidth="1"/>
    <col min="6410" max="6410" width="9.44140625" bestFit="1" customWidth="1"/>
    <col min="6411" max="6414" width="8.77734375" customWidth="1"/>
    <col min="6415" max="6415" width="1.21875" customWidth="1"/>
    <col min="6416" max="6417" width="9.44140625" customWidth="1"/>
    <col min="6418" max="6418" width="0.77734375" customWidth="1"/>
    <col min="6419" max="6419" width="9.77734375" bestFit="1" customWidth="1"/>
    <col min="6420" max="6420" width="8.77734375" customWidth="1"/>
    <col min="6424" max="6424" width="14" bestFit="1" customWidth="1"/>
    <col min="6426" max="6426" width="22.21875" bestFit="1" customWidth="1"/>
    <col min="6661" max="6661" width="18.21875" customWidth="1"/>
    <col min="6663" max="6663" width="7.44140625" customWidth="1"/>
    <col min="6664" max="6664" width="7" bestFit="1" customWidth="1"/>
    <col min="6665" max="6665" width="11" bestFit="1" customWidth="1"/>
    <col min="6666" max="6666" width="9.44140625" bestFit="1" customWidth="1"/>
    <col min="6667" max="6670" width="8.77734375" customWidth="1"/>
    <col min="6671" max="6671" width="1.21875" customWidth="1"/>
    <col min="6672" max="6673" width="9.44140625" customWidth="1"/>
    <col min="6674" max="6674" width="0.77734375" customWidth="1"/>
    <col min="6675" max="6675" width="9.77734375" bestFit="1" customWidth="1"/>
    <col min="6676" max="6676" width="8.77734375" customWidth="1"/>
    <col min="6680" max="6680" width="14" bestFit="1" customWidth="1"/>
    <col min="6682" max="6682" width="22.21875" bestFit="1" customWidth="1"/>
    <col min="6917" max="6917" width="18.21875" customWidth="1"/>
    <col min="6919" max="6919" width="7.44140625" customWidth="1"/>
    <col min="6920" max="6920" width="7" bestFit="1" customWidth="1"/>
    <col min="6921" max="6921" width="11" bestFit="1" customWidth="1"/>
    <col min="6922" max="6922" width="9.44140625" bestFit="1" customWidth="1"/>
    <col min="6923" max="6926" width="8.77734375" customWidth="1"/>
    <col min="6927" max="6927" width="1.21875" customWidth="1"/>
    <col min="6928" max="6929" width="9.44140625" customWidth="1"/>
    <col min="6930" max="6930" width="0.77734375" customWidth="1"/>
    <col min="6931" max="6931" width="9.77734375" bestFit="1" customWidth="1"/>
    <col min="6932" max="6932" width="8.77734375" customWidth="1"/>
    <col min="6936" max="6936" width="14" bestFit="1" customWidth="1"/>
    <col min="6938" max="6938" width="22.21875" bestFit="1" customWidth="1"/>
    <col min="7173" max="7173" width="18.21875" customWidth="1"/>
    <col min="7175" max="7175" width="7.44140625" customWidth="1"/>
    <col min="7176" max="7176" width="7" bestFit="1" customWidth="1"/>
    <col min="7177" max="7177" width="11" bestFit="1" customWidth="1"/>
    <col min="7178" max="7178" width="9.44140625" bestFit="1" customWidth="1"/>
    <col min="7179" max="7182" width="8.77734375" customWidth="1"/>
    <col min="7183" max="7183" width="1.21875" customWidth="1"/>
    <col min="7184" max="7185" width="9.44140625" customWidth="1"/>
    <col min="7186" max="7186" width="0.77734375" customWidth="1"/>
    <col min="7187" max="7187" width="9.77734375" bestFit="1" customWidth="1"/>
    <col min="7188" max="7188" width="8.77734375" customWidth="1"/>
    <col min="7192" max="7192" width="14" bestFit="1" customWidth="1"/>
    <col min="7194" max="7194" width="22.21875" bestFit="1" customWidth="1"/>
    <col min="7429" max="7429" width="18.21875" customWidth="1"/>
    <col min="7431" max="7431" width="7.44140625" customWidth="1"/>
    <col min="7432" max="7432" width="7" bestFit="1" customWidth="1"/>
    <col min="7433" max="7433" width="11" bestFit="1" customWidth="1"/>
    <col min="7434" max="7434" width="9.44140625" bestFit="1" customWidth="1"/>
    <col min="7435" max="7438" width="8.77734375" customWidth="1"/>
    <col min="7439" max="7439" width="1.21875" customWidth="1"/>
    <col min="7440" max="7441" width="9.44140625" customWidth="1"/>
    <col min="7442" max="7442" width="0.77734375" customWidth="1"/>
    <col min="7443" max="7443" width="9.77734375" bestFit="1" customWidth="1"/>
    <col min="7444" max="7444" width="8.77734375" customWidth="1"/>
    <col min="7448" max="7448" width="14" bestFit="1" customWidth="1"/>
    <col min="7450" max="7450" width="22.21875" bestFit="1" customWidth="1"/>
    <col min="7685" max="7685" width="18.21875" customWidth="1"/>
    <col min="7687" max="7687" width="7.44140625" customWidth="1"/>
    <col min="7688" max="7688" width="7" bestFit="1" customWidth="1"/>
    <col min="7689" max="7689" width="11" bestFit="1" customWidth="1"/>
    <col min="7690" max="7690" width="9.44140625" bestFit="1" customWidth="1"/>
    <col min="7691" max="7694" width="8.77734375" customWidth="1"/>
    <col min="7695" max="7695" width="1.21875" customWidth="1"/>
    <col min="7696" max="7697" width="9.44140625" customWidth="1"/>
    <col min="7698" max="7698" width="0.77734375" customWidth="1"/>
    <col min="7699" max="7699" width="9.77734375" bestFit="1" customWidth="1"/>
    <col min="7700" max="7700" width="8.77734375" customWidth="1"/>
    <col min="7704" max="7704" width="14" bestFit="1" customWidth="1"/>
    <col min="7706" max="7706" width="22.21875" bestFit="1" customWidth="1"/>
    <col min="7941" max="7941" width="18.21875" customWidth="1"/>
    <col min="7943" max="7943" width="7.44140625" customWidth="1"/>
    <col min="7944" max="7944" width="7" bestFit="1" customWidth="1"/>
    <col min="7945" max="7945" width="11" bestFit="1" customWidth="1"/>
    <col min="7946" max="7946" width="9.44140625" bestFit="1" customWidth="1"/>
    <col min="7947" max="7950" width="8.77734375" customWidth="1"/>
    <col min="7951" max="7951" width="1.21875" customWidth="1"/>
    <col min="7952" max="7953" width="9.44140625" customWidth="1"/>
    <col min="7954" max="7954" width="0.77734375" customWidth="1"/>
    <col min="7955" max="7955" width="9.77734375" bestFit="1" customWidth="1"/>
    <col min="7956" max="7956" width="8.77734375" customWidth="1"/>
    <col min="7960" max="7960" width="14" bestFit="1" customWidth="1"/>
    <col min="7962" max="7962" width="22.21875" bestFit="1" customWidth="1"/>
    <col min="8197" max="8197" width="18.21875" customWidth="1"/>
    <col min="8199" max="8199" width="7.44140625" customWidth="1"/>
    <col min="8200" max="8200" width="7" bestFit="1" customWidth="1"/>
    <col min="8201" max="8201" width="11" bestFit="1" customWidth="1"/>
    <col min="8202" max="8202" width="9.44140625" bestFit="1" customWidth="1"/>
    <col min="8203" max="8206" width="8.77734375" customWidth="1"/>
    <col min="8207" max="8207" width="1.21875" customWidth="1"/>
    <col min="8208" max="8209" width="9.44140625" customWidth="1"/>
    <col min="8210" max="8210" width="0.77734375" customWidth="1"/>
    <col min="8211" max="8211" width="9.77734375" bestFit="1" customWidth="1"/>
    <col min="8212" max="8212" width="8.77734375" customWidth="1"/>
    <col min="8216" max="8216" width="14" bestFit="1" customWidth="1"/>
    <col min="8218" max="8218" width="22.21875" bestFit="1" customWidth="1"/>
    <col min="8453" max="8453" width="18.21875" customWidth="1"/>
    <col min="8455" max="8455" width="7.44140625" customWidth="1"/>
    <col min="8456" max="8456" width="7" bestFit="1" customWidth="1"/>
    <col min="8457" max="8457" width="11" bestFit="1" customWidth="1"/>
    <col min="8458" max="8458" width="9.44140625" bestFit="1" customWidth="1"/>
    <col min="8459" max="8462" width="8.77734375" customWidth="1"/>
    <col min="8463" max="8463" width="1.21875" customWidth="1"/>
    <col min="8464" max="8465" width="9.44140625" customWidth="1"/>
    <col min="8466" max="8466" width="0.77734375" customWidth="1"/>
    <col min="8467" max="8467" width="9.77734375" bestFit="1" customWidth="1"/>
    <col min="8468" max="8468" width="8.77734375" customWidth="1"/>
    <col min="8472" max="8472" width="14" bestFit="1" customWidth="1"/>
    <col min="8474" max="8474" width="22.21875" bestFit="1" customWidth="1"/>
    <col min="8709" max="8709" width="18.21875" customWidth="1"/>
    <col min="8711" max="8711" width="7.44140625" customWidth="1"/>
    <col min="8712" max="8712" width="7" bestFit="1" customWidth="1"/>
    <col min="8713" max="8713" width="11" bestFit="1" customWidth="1"/>
    <col min="8714" max="8714" width="9.44140625" bestFit="1" customWidth="1"/>
    <col min="8715" max="8718" width="8.77734375" customWidth="1"/>
    <col min="8719" max="8719" width="1.21875" customWidth="1"/>
    <col min="8720" max="8721" width="9.44140625" customWidth="1"/>
    <col min="8722" max="8722" width="0.77734375" customWidth="1"/>
    <col min="8723" max="8723" width="9.77734375" bestFit="1" customWidth="1"/>
    <col min="8724" max="8724" width="8.77734375" customWidth="1"/>
    <col min="8728" max="8728" width="14" bestFit="1" customWidth="1"/>
    <col min="8730" max="8730" width="22.21875" bestFit="1" customWidth="1"/>
    <col min="8965" max="8965" width="18.21875" customWidth="1"/>
    <col min="8967" max="8967" width="7.44140625" customWidth="1"/>
    <col min="8968" max="8968" width="7" bestFit="1" customWidth="1"/>
    <col min="8969" max="8969" width="11" bestFit="1" customWidth="1"/>
    <col min="8970" max="8970" width="9.44140625" bestFit="1" customWidth="1"/>
    <col min="8971" max="8974" width="8.77734375" customWidth="1"/>
    <col min="8975" max="8975" width="1.21875" customWidth="1"/>
    <col min="8976" max="8977" width="9.44140625" customWidth="1"/>
    <col min="8978" max="8978" width="0.77734375" customWidth="1"/>
    <col min="8979" max="8979" width="9.77734375" bestFit="1" customWidth="1"/>
    <col min="8980" max="8980" width="8.77734375" customWidth="1"/>
    <col min="8984" max="8984" width="14" bestFit="1" customWidth="1"/>
    <col min="8986" max="8986" width="22.21875" bestFit="1" customWidth="1"/>
    <col min="9221" max="9221" width="18.21875" customWidth="1"/>
    <col min="9223" max="9223" width="7.44140625" customWidth="1"/>
    <col min="9224" max="9224" width="7" bestFit="1" customWidth="1"/>
    <col min="9225" max="9225" width="11" bestFit="1" customWidth="1"/>
    <col min="9226" max="9226" width="9.44140625" bestFit="1" customWidth="1"/>
    <col min="9227" max="9230" width="8.77734375" customWidth="1"/>
    <col min="9231" max="9231" width="1.21875" customWidth="1"/>
    <col min="9232" max="9233" width="9.44140625" customWidth="1"/>
    <col min="9234" max="9234" width="0.77734375" customWidth="1"/>
    <col min="9235" max="9235" width="9.77734375" bestFit="1" customWidth="1"/>
    <col min="9236" max="9236" width="8.77734375" customWidth="1"/>
    <col min="9240" max="9240" width="14" bestFit="1" customWidth="1"/>
    <col min="9242" max="9242" width="22.21875" bestFit="1" customWidth="1"/>
    <col min="9477" max="9477" width="18.21875" customWidth="1"/>
    <col min="9479" max="9479" width="7.44140625" customWidth="1"/>
    <col min="9480" max="9480" width="7" bestFit="1" customWidth="1"/>
    <col min="9481" max="9481" width="11" bestFit="1" customWidth="1"/>
    <col min="9482" max="9482" width="9.44140625" bestFit="1" customWidth="1"/>
    <col min="9483" max="9486" width="8.77734375" customWidth="1"/>
    <col min="9487" max="9487" width="1.21875" customWidth="1"/>
    <col min="9488" max="9489" width="9.44140625" customWidth="1"/>
    <col min="9490" max="9490" width="0.77734375" customWidth="1"/>
    <col min="9491" max="9491" width="9.77734375" bestFit="1" customWidth="1"/>
    <col min="9492" max="9492" width="8.77734375" customWidth="1"/>
    <col min="9496" max="9496" width="14" bestFit="1" customWidth="1"/>
    <col min="9498" max="9498" width="22.21875" bestFit="1" customWidth="1"/>
    <col min="9733" max="9733" width="18.21875" customWidth="1"/>
    <col min="9735" max="9735" width="7.44140625" customWidth="1"/>
    <col min="9736" max="9736" width="7" bestFit="1" customWidth="1"/>
    <col min="9737" max="9737" width="11" bestFit="1" customWidth="1"/>
    <col min="9738" max="9738" width="9.44140625" bestFit="1" customWidth="1"/>
    <col min="9739" max="9742" width="8.77734375" customWidth="1"/>
    <col min="9743" max="9743" width="1.21875" customWidth="1"/>
    <col min="9744" max="9745" width="9.44140625" customWidth="1"/>
    <col min="9746" max="9746" width="0.77734375" customWidth="1"/>
    <col min="9747" max="9747" width="9.77734375" bestFit="1" customWidth="1"/>
    <col min="9748" max="9748" width="8.77734375" customWidth="1"/>
    <col min="9752" max="9752" width="14" bestFit="1" customWidth="1"/>
    <col min="9754" max="9754" width="22.21875" bestFit="1" customWidth="1"/>
    <col min="9989" max="9989" width="18.21875" customWidth="1"/>
    <col min="9991" max="9991" width="7.44140625" customWidth="1"/>
    <col min="9992" max="9992" width="7" bestFit="1" customWidth="1"/>
    <col min="9993" max="9993" width="11" bestFit="1" customWidth="1"/>
    <col min="9994" max="9994" width="9.44140625" bestFit="1" customWidth="1"/>
    <col min="9995" max="9998" width="8.77734375" customWidth="1"/>
    <col min="9999" max="9999" width="1.21875" customWidth="1"/>
    <col min="10000" max="10001" width="9.44140625" customWidth="1"/>
    <col min="10002" max="10002" width="0.77734375" customWidth="1"/>
    <col min="10003" max="10003" width="9.77734375" bestFit="1" customWidth="1"/>
    <col min="10004" max="10004" width="8.77734375" customWidth="1"/>
    <col min="10008" max="10008" width="14" bestFit="1" customWidth="1"/>
    <col min="10010" max="10010" width="22.21875" bestFit="1" customWidth="1"/>
    <col min="10245" max="10245" width="18.21875" customWidth="1"/>
    <col min="10247" max="10247" width="7.44140625" customWidth="1"/>
    <col min="10248" max="10248" width="7" bestFit="1" customWidth="1"/>
    <col min="10249" max="10249" width="11" bestFit="1" customWidth="1"/>
    <col min="10250" max="10250" width="9.44140625" bestFit="1" customWidth="1"/>
    <col min="10251" max="10254" width="8.77734375" customWidth="1"/>
    <col min="10255" max="10255" width="1.21875" customWidth="1"/>
    <col min="10256" max="10257" width="9.44140625" customWidth="1"/>
    <col min="10258" max="10258" width="0.77734375" customWidth="1"/>
    <col min="10259" max="10259" width="9.77734375" bestFit="1" customWidth="1"/>
    <col min="10260" max="10260" width="8.77734375" customWidth="1"/>
    <col min="10264" max="10264" width="14" bestFit="1" customWidth="1"/>
    <col min="10266" max="10266" width="22.21875" bestFit="1" customWidth="1"/>
    <col min="10501" max="10501" width="18.21875" customWidth="1"/>
    <col min="10503" max="10503" width="7.44140625" customWidth="1"/>
    <col min="10504" max="10504" width="7" bestFit="1" customWidth="1"/>
    <col min="10505" max="10505" width="11" bestFit="1" customWidth="1"/>
    <col min="10506" max="10506" width="9.44140625" bestFit="1" customWidth="1"/>
    <col min="10507" max="10510" width="8.77734375" customWidth="1"/>
    <col min="10511" max="10511" width="1.21875" customWidth="1"/>
    <col min="10512" max="10513" width="9.44140625" customWidth="1"/>
    <col min="10514" max="10514" width="0.77734375" customWidth="1"/>
    <col min="10515" max="10515" width="9.77734375" bestFit="1" customWidth="1"/>
    <col min="10516" max="10516" width="8.77734375" customWidth="1"/>
    <col min="10520" max="10520" width="14" bestFit="1" customWidth="1"/>
    <col min="10522" max="10522" width="22.21875" bestFit="1" customWidth="1"/>
    <col min="10757" max="10757" width="18.21875" customWidth="1"/>
    <col min="10759" max="10759" width="7.44140625" customWidth="1"/>
    <col min="10760" max="10760" width="7" bestFit="1" customWidth="1"/>
    <col min="10761" max="10761" width="11" bestFit="1" customWidth="1"/>
    <col min="10762" max="10762" width="9.44140625" bestFit="1" customWidth="1"/>
    <col min="10763" max="10766" width="8.77734375" customWidth="1"/>
    <col min="10767" max="10767" width="1.21875" customWidth="1"/>
    <col min="10768" max="10769" width="9.44140625" customWidth="1"/>
    <col min="10770" max="10770" width="0.77734375" customWidth="1"/>
    <col min="10771" max="10771" width="9.77734375" bestFit="1" customWidth="1"/>
    <col min="10772" max="10772" width="8.77734375" customWidth="1"/>
    <col min="10776" max="10776" width="14" bestFit="1" customWidth="1"/>
    <col min="10778" max="10778" width="22.21875" bestFit="1" customWidth="1"/>
    <col min="11013" max="11013" width="18.21875" customWidth="1"/>
    <col min="11015" max="11015" width="7.44140625" customWidth="1"/>
    <col min="11016" max="11016" width="7" bestFit="1" customWidth="1"/>
    <col min="11017" max="11017" width="11" bestFit="1" customWidth="1"/>
    <col min="11018" max="11018" width="9.44140625" bestFit="1" customWidth="1"/>
    <col min="11019" max="11022" width="8.77734375" customWidth="1"/>
    <col min="11023" max="11023" width="1.21875" customWidth="1"/>
    <col min="11024" max="11025" width="9.44140625" customWidth="1"/>
    <col min="11026" max="11026" width="0.77734375" customWidth="1"/>
    <col min="11027" max="11027" width="9.77734375" bestFit="1" customWidth="1"/>
    <col min="11028" max="11028" width="8.77734375" customWidth="1"/>
    <col min="11032" max="11032" width="14" bestFit="1" customWidth="1"/>
    <col min="11034" max="11034" width="22.21875" bestFit="1" customWidth="1"/>
    <col min="11269" max="11269" width="18.21875" customWidth="1"/>
    <col min="11271" max="11271" width="7.44140625" customWidth="1"/>
    <col min="11272" max="11272" width="7" bestFit="1" customWidth="1"/>
    <col min="11273" max="11273" width="11" bestFit="1" customWidth="1"/>
    <col min="11274" max="11274" width="9.44140625" bestFit="1" customWidth="1"/>
    <col min="11275" max="11278" width="8.77734375" customWidth="1"/>
    <col min="11279" max="11279" width="1.21875" customWidth="1"/>
    <col min="11280" max="11281" width="9.44140625" customWidth="1"/>
    <col min="11282" max="11282" width="0.77734375" customWidth="1"/>
    <col min="11283" max="11283" width="9.77734375" bestFit="1" customWidth="1"/>
    <col min="11284" max="11284" width="8.77734375" customWidth="1"/>
    <col min="11288" max="11288" width="14" bestFit="1" customWidth="1"/>
    <col min="11290" max="11290" width="22.21875" bestFit="1" customWidth="1"/>
    <col min="11525" max="11525" width="18.21875" customWidth="1"/>
    <col min="11527" max="11527" width="7.44140625" customWidth="1"/>
    <col min="11528" max="11528" width="7" bestFit="1" customWidth="1"/>
    <col min="11529" max="11529" width="11" bestFit="1" customWidth="1"/>
    <col min="11530" max="11530" width="9.44140625" bestFit="1" customWidth="1"/>
    <col min="11531" max="11534" width="8.77734375" customWidth="1"/>
    <col min="11535" max="11535" width="1.21875" customWidth="1"/>
    <col min="11536" max="11537" width="9.44140625" customWidth="1"/>
    <col min="11538" max="11538" width="0.77734375" customWidth="1"/>
    <col min="11539" max="11539" width="9.77734375" bestFit="1" customWidth="1"/>
    <col min="11540" max="11540" width="8.77734375" customWidth="1"/>
    <col min="11544" max="11544" width="14" bestFit="1" customWidth="1"/>
    <col min="11546" max="11546" width="22.21875" bestFit="1" customWidth="1"/>
    <col min="11781" max="11781" width="18.21875" customWidth="1"/>
    <col min="11783" max="11783" width="7.44140625" customWidth="1"/>
    <col min="11784" max="11784" width="7" bestFit="1" customWidth="1"/>
    <col min="11785" max="11785" width="11" bestFit="1" customWidth="1"/>
    <col min="11786" max="11786" width="9.44140625" bestFit="1" customWidth="1"/>
    <col min="11787" max="11790" width="8.77734375" customWidth="1"/>
    <col min="11791" max="11791" width="1.21875" customWidth="1"/>
    <col min="11792" max="11793" width="9.44140625" customWidth="1"/>
    <col min="11794" max="11794" width="0.77734375" customWidth="1"/>
    <col min="11795" max="11795" width="9.77734375" bestFit="1" customWidth="1"/>
    <col min="11796" max="11796" width="8.77734375" customWidth="1"/>
    <col min="11800" max="11800" width="14" bestFit="1" customWidth="1"/>
    <col min="11802" max="11802" width="22.21875" bestFit="1" customWidth="1"/>
    <col min="12037" max="12037" width="18.21875" customWidth="1"/>
    <col min="12039" max="12039" width="7.44140625" customWidth="1"/>
    <col min="12040" max="12040" width="7" bestFit="1" customWidth="1"/>
    <col min="12041" max="12041" width="11" bestFit="1" customWidth="1"/>
    <col min="12042" max="12042" width="9.44140625" bestFit="1" customWidth="1"/>
    <col min="12043" max="12046" width="8.77734375" customWidth="1"/>
    <col min="12047" max="12047" width="1.21875" customWidth="1"/>
    <col min="12048" max="12049" width="9.44140625" customWidth="1"/>
    <col min="12050" max="12050" width="0.77734375" customWidth="1"/>
    <col min="12051" max="12051" width="9.77734375" bestFit="1" customWidth="1"/>
    <col min="12052" max="12052" width="8.77734375" customWidth="1"/>
    <col min="12056" max="12056" width="14" bestFit="1" customWidth="1"/>
    <col min="12058" max="12058" width="22.21875" bestFit="1" customWidth="1"/>
    <col min="12293" max="12293" width="18.21875" customWidth="1"/>
    <col min="12295" max="12295" width="7.44140625" customWidth="1"/>
    <col min="12296" max="12296" width="7" bestFit="1" customWidth="1"/>
    <col min="12297" max="12297" width="11" bestFit="1" customWidth="1"/>
    <col min="12298" max="12298" width="9.44140625" bestFit="1" customWidth="1"/>
    <col min="12299" max="12302" width="8.77734375" customWidth="1"/>
    <col min="12303" max="12303" width="1.21875" customWidth="1"/>
    <col min="12304" max="12305" width="9.44140625" customWidth="1"/>
    <col min="12306" max="12306" width="0.77734375" customWidth="1"/>
    <col min="12307" max="12307" width="9.77734375" bestFit="1" customWidth="1"/>
    <col min="12308" max="12308" width="8.77734375" customWidth="1"/>
    <col min="12312" max="12312" width="14" bestFit="1" customWidth="1"/>
    <col min="12314" max="12314" width="22.21875" bestFit="1" customWidth="1"/>
    <col min="12549" max="12549" width="18.21875" customWidth="1"/>
    <col min="12551" max="12551" width="7.44140625" customWidth="1"/>
    <col min="12552" max="12552" width="7" bestFit="1" customWidth="1"/>
    <col min="12553" max="12553" width="11" bestFit="1" customWidth="1"/>
    <col min="12554" max="12554" width="9.44140625" bestFit="1" customWidth="1"/>
    <col min="12555" max="12558" width="8.77734375" customWidth="1"/>
    <col min="12559" max="12559" width="1.21875" customWidth="1"/>
    <col min="12560" max="12561" width="9.44140625" customWidth="1"/>
    <col min="12562" max="12562" width="0.77734375" customWidth="1"/>
    <col min="12563" max="12563" width="9.77734375" bestFit="1" customWidth="1"/>
    <col min="12564" max="12564" width="8.77734375" customWidth="1"/>
    <col min="12568" max="12568" width="14" bestFit="1" customWidth="1"/>
    <col min="12570" max="12570" width="22.21875" bestFit="1" customWidth="1"/>
    <col min="12805" max="12805" width="18.21875" customWidth="1"/>
    <col min="12807" max="12807" width="7.44140625" customWidth="1"/>
    <col min="12808" max="12808" width="7" bestFit="1" customWidth="1"/>
    <col min="12809" max="12809" width="11" bestFit="1" customWidth="1"/>
    <col min="12810" max="12810" width="9.44140625" bestFit="1" customWidth="1"/>
    <col min="12811" max="12814" width="8.77734375" customWidth="1"/>
    <col min="12815" max="12815" width="1.21875" customWidth="1"/>
    <col min="12816" max="12817" width="9.44140625" customWidth="1"/>
    <col min="12818" max="12818" width="0.77734375" customWidth="1"/>
    <col min="12819" max="12819" width="9.77734375" bestFit="1" customWidth="1"/>
    <col min="12820" max="12820" width="8.77734375" customWidth="1"/>
    <col min="12824" max="12824" width="14" bestFit="1" customWidth="1"/>
    <col min="12826" max="12826" width="22.21875" bestFit="1" customWidth="1"/>
    <col min="13061" max="13061" width="18.21875" customWidth="1"/>
    <col min="13063" max="13063" width="7.44140625" customWidth="1"/>
    <col min="13064" max="13064" width="7" bestFit="1" customWidth="1"/>
    <col min="13065" max="13065" width="11" bestFit="1" customWidth="1"/>
    <col min="13066" max="13066" width="9.44140625" bestFit="1" customWidth="1"/>
    <col min="13067" max="13070" width="8.77734375" customWidth="1"/>
    <col min="13071" max="13071" width="1.21875" customWidth="1"/>
    <col min="13072" max="13073" width="9.44140625" customWidth="1"/>
    <col min="13074" max="13074" width="0.77734375" customWidth="1"/>
    <col min="13075" max="13075" width="9.77734375" bestFit="1" customWidth="1"/>
    <col min="13076" max="13076" width="8.77734375" customWidth="1"/>
    <col min="13080" max="13080" width="14" bestFit="1" customWidth="1"/>
    <col min="13082" max="13082" width="22.21875" bestFit="1" customWidth="1"/>
    <col min="13317" max="13317" width="18.21875" customWidth="1"/>
    <col min="13319" max="13319" width="7.44140625" customWidth="1"/>
    <col min="13320" max="13320" width="7" bestFit="1" customWidth="1"/>
    <col min="13321" max="13321" width="11" bestFit="1" customWidth="1"/>
    <col min="13322" max="13322" width="9.44140625" bestFit="1" customWidth="1"/>
    <col min="13323" max="13326" width="8.77734375" customWidth="1"/>
    <col min="13327" max="13327" width="1.21875" customWidth="1"/>
    <col min="13328" max="13329" width="9.44140625" customWidth="1"/>
    <col min="13330" max="13330" width="0.77734375" customWidth="1"/>
    <col min="13331" max="13331" width="9.77734375" bestFit="1" customWidth="1"/>
    <col min="13332" max="13332" width="8.77734375" customWidth="1"/>
    <col min="13336" max="13336" width="14" bestFit="1" customWidth="1"/>
    <col min="13338" max="13338" width="22.21875" bestFit="1" customWidth="1"/>
    <col min="13573" max="13573" width="18.21875" customWidth="1"/>
    <col min="13575" max="13575" width="7.44140625" customWidth="1"/>
    <col min="13576" max="13576" width="7" bestFit="1" customWidth="1"/>
    <col min="13577" max="13577" width="11" bestFit="1" customWidth="1"/>
    <col min="13578" max="13578" width="9.44140625" bestFit="1" customWidth="1"/>
    <col min="13579" max="13582" width="8.77734375" customWidth="1"/>
    <col min="13583" max="13583" width="1.21875" customWidth="1"/>
    <col min="13584" max="13585" width="9.44140625" customWidth="1"/>
    <col min="13586" max="13586" width="0.77734375" customWidth="1"/>
    <col min="13587" max="13587" width="9.77734375" bestFit="1" customWidth="1"/>
    <col min="13588" max="13588" width="8.77734375" customWidth="1"/>
    <col min="13592" max="13592" width="14" bestFit="1" customWidth="1"/>
    <col min="13594" max="13594" width="22.21875" bestFit="1" customWidth="1"/>
    <col min="13829" max="13829" width="18.21875" customWidth="1"/>
    <col min="13831" max="13831" width="7.44140625" customWidth="1"/>
    <col min="13832" max="13832" width="7" bestFit="1" customWidth="1"/>
    <col min="13833" max="13833" width="11" bestFit="1" customWidth="1"/>
    <col min="13834" max="13834" width="9.44140625" bestFit="1" customWidth="1"/>
    <col min="13835" max="13838" width="8.77734375" customWidth="1"/>
    <col min="13839" max="13839" width="1.21875" customWidth="1"/>
    <col min="13840" max="13841" width="9.44140625" customWidth="1"/>
    <col min="13842" max="13842" width="0.77734375" customWidth="1"/>
    <col min="13843" max="13843" width="9.77734375" bestFit="1" customWidth="1"/>
    <col min="13844" max="13844" width="8.77734375" customWidth="1"/>
    <col min="13848" max="13848" width="14" bestFit="1" customWidth="1"/>
    <col min="13850" max="13850" width="22.21875" bestFit="1" customWidth="1"/>
    <col min="14085" max="14085" width="18.21875" customWidth="1"/>
    <col min="14087" max="14087" width="7.44140625" customWidth="1"/>
    <col min="14088" max="14088" width="7" bestFit="1" customWidth="1"/>
    <col min="14089" max="14089" width="11" bestFit="1" customWidth="1"/>
    <col min="14090" max="14090" width="9.44140625" bestFit="1" customWidth="1"/>
    <col min="14091" max="14094" width="8.77734375" customWidth="1"/>
    <col min="14095" max="14095" width="1.21875" customWidth="1"/>
    <col min="14096" max="14097" width="9.44140625" customWidth="1"/>
    <col min="14098" max="14098" width="0.77734375" customWidth="1"/>
    <col min="14099" max="14099" width="9.77734375" bestFit="1" customWidth="1"/>
    <col min="14100" max="14100" width="8.77734375" customWidth="1"/>
    <col min="14104" max="14104" width="14" bestFit="1" customWidth="1"/>
    <col min="14106" max="14106" width="22.21875" bestFit="1" customWidth="1"/>
    <col min="14341" max="14341" width="18.21875" customWidth="1"/>
    <col min="14343" max="14343" width="7.44140625" customWidth="1"/>
    <col min="14344" max="14344" width="7" bestFit="1" customWidth="1"/>
    <col min="14345" max="14345" width="11" bestFit="1" customWidth="1"/>
    <col min="14346" max="14346" width="9.44140625" bestFit="1" customWidth="1"/>
    <col min="14347" max="14350" width="8.77734375" customWidth="1"/>
    <col min="14351" max="14351" width="1.21875" customWidth="1"/>
    <col min="14352" max="14353" width="9.44140625" customWidth="1"/>
    <col min="14354" max="14354" width="0.77734375" customWidth="1"/>
    <col min="14355" max="14355" width="9.77734375" bestFit="1" customWidth="1"/>
    <col min="14356" max="14356" width="8.77734375" customWidth="1"/>
    <col min="14360" max="14360" width="14" bestFit="1" customWidth="1"/>
    <col min="14362" max="14362" width="22.21875" bestFit="1" customWidth="1"/>
    <col min="14597" max="14597" width="18.21875" customWidth="1"/>
    <col min="14599" max="14599" width="7.44140625" customWidth="1"/>
    <col min="14600" max="14600" width="7" bestFit="1" customWidth="1"/>
    <col min="14601" max="14601" width="11" bestFit="1" customWidth="1"/>
    <col min="14602" max="14602" width="9.44140625" bestFit="1" customWidth="1"/>
    <col min="14603" max="14606" width="8.77734375" customWidth="1"/>
    <col min="14607" max="14607" width="1.21875" customWidth="1"/>
    <col min="14608" max="14609" width="9.44140625" customWidth="1"/>
    <col min="14610" max="14610" width="0.77734375" customWidth="1"/>
    <col min="14611" max="14611" width="9.77734375" bestFit="1" customWidth="1"/>
    <col min="14612" max="14612" width="8.77734375" customWidth="1"/>
    <col min="14616" max="14616" width="14" bestFit="1" customWidth="1"/>
    <col min="14618" max="14618" width="22.21875" bestFit="1" customWidth="1"/>
    <col min="14853" max="14853" width="18.21875" customWidth="1"/>
    <col min="14855" max="14855" width="7.44140625" customWidth="1"/>
    <col min="14856" max="14856" width="7" bestFit="1" customWidth="1"/>
    <col min="14857" max="14857" width="11" bestFit="1" customWidth="1"/>
    <col min="14858" max="14858" width="9.44140625" bestFit="1" customWidth="1"/>
    <col min="14859" max="14862" width="8.77734375" customWidth="1"/>
    <col min="14863" max="14863" width="1.21875" customWidth="1"/>
    <col min="14864" max="14865" width="9.44140625" customWidth="1"/>
    <col min="14866" max="14866" width="0.77734375" customWidth="1"/>
    <col min="14867" max="14867" width="9.77734375" bestFit="1" customWidth="1"/>
    <col min="14868" max="14868" width="8.77734375" customWidth="1"/>
    <col min="14872" max="14872" width="14" bestFit="1" customWidth="1"/>
    <col min="14874" max="14874" width="22.21875" bestFit="1" customWidth="1"/>
    <col min="15109" max="15109" width="18.21875" customWidth="1"/>
    <col min="15111" max="15111" width="7.44140625" customWidth="1"/>
    <col min="15112" max="15112" width="7" bestFit="1" customWidth="1"/>
    <col min="15113" max="15113" width="11" bestFit="1" customWidth="1"/>
    <col min="15114" max="15114" width="9.44140625" bestFit="1" customWidth="1"/>
    <col min="15115" max="15118" width="8.77734375" customWidth="1"/>
    <col min="15119" max="15119" width="1.21875" customWidth="1"/>
    <col min="15120" max="15121" width="9.44140625" customWidth="1"/>
    <col min="15122" max="15122" width="0.77734375" customWidth="1"/>
    <col min="15123" max="15123" width="9.77734375" bestFit="1" customWidth="1"/>
    <col min="15124" max="15124" width="8.77734375" customWidth="1"/>
    <col min="15128" max="15128" width="14" bestFit="1" customWidth="1"/>
    <col min="15130" max="15130" width="22.21875" bestFit="1" customWidth="1"/>
    <col min="15365" max="15365" width="18.21875" customWidth="1"/>
    <col min="15367" max="15367" width="7.44140625" customWidth="1"/>
    <col min="15368" max="15368" width="7" bestFit="1" customWidth="1"/>
    <col min="15369" max="15369" width="11" bestFit="1" customWidth="1"/>
    <col min="15370" max="15370" width="9.44140625" bestFit="1" customWidth="1"/>
    <col min="15371" max="15374" width="8.77734375" customWidth="1"/>
    <col min="15375" max="15375" width="1.21875" customWidth="1"/>
    <col min="15376" max="15377" width="9.44140625" customWidth="1"/>
    <col min="15378" max="15378" width="0.77734375" customWidth="1"/>
    <col min="15379" max="15379" width="9.77734375" bestFit="1" customWidth="1"/>
    <col min="15380" max="15380" width="8.77734375" customWidth="1"/>
    <col min="15384" max="15384" width="14" bestFit="1" customWidth="1"/>
    <col min="15386" max="15386" width="22.21875" bestFit="1" customWidth="1"/>
    <col min="15621" max="15621" width="18.21875" customWidth="1"/>
    <col min="15623" max="15623" width="7.44140625" customWidth="1"/>
    <col min="15624" max="15624" width="7" bestFit="1" customWidth="1"/>
    <col min="15625" max="15625" width="11" bestFit="1" customWidth="1"/>
    <col min="15626" max="15626" width="9.44140625" bestFit="1" customWidth="1"/>
    <col min="15627" max="15630" width="8.77734375" customWidth="1"/>
    <col min="15631" max="15631" width="1.21875" customWidth="1"/>
    <col min="15632" max="15633" width="9.44140625" customWidth="1"/>
    <col min="15634" max="15634" width="0.77734375" customWidth="1"/>
    <col min="15635" max="15635" width="9.77734375" bestFit="1" customWidth="1"/>
    <col min="15636" max="15636" width="8.77734375" customWidth="1"/>
    <col min="15640" max="15640" width="14" bestFit="1" customWidth="1"/>
    <col min="15642" max="15642" width="22.21875" bestFit="1" customWidth="1"/>
    <col min="15877" max="15877" width="18.21875" customWidth="1"/>
    <col min="15879" max="15879" width="7.44140625" customWidth="1"/>
    <col min="15880" max="15880" width="7" bestFit="1" customWidth="1"/>
    <col min="15881" max="15881" width="11" bestFit="1" customWidth="1"/>
    <col min="15882" max="15882" width="9.44140625" bestFit="1" customWidth="1"/>
    <col min="15883" max="15886" width="8.77734375" customWidth="1"/>
    <col min="15887" max="15887" width="1.21875" customWidth="1"/>
    <col min="15888" max="15889" width="9.44140625" customWidth="1"/>
    <col min="15890" max="15890" width="0.77734375" customWidth="1"/>
    <col min="15891" max="15891" width="9.77734375" bestFit="1" customWidth="1"/>
    <col min="15892" max="15892" width="8.77734375" customWidth="1"/>
    <col min="15896" max="15896" width="14" bestFit="1" customWidth="1"/>
    <col min="15898" max="15898" width="22.21875" bestFit="1" customWidth="1"/>
    <col min="16133" max="16133" width="18.21875" customWidth="1"/>
    <col min="16135" max="16135" width="7.44140625" customWidth="1"/>
    <col min="16136" max="16136" width="7" bestFit="1" customWidth="1"/>
    <col min="16137" max="16137" width="11" bestFit="1" customWidth="1"/>
    <col min="16138" max="16138" width="9.44140625" bestFit="1" customWidth="1"/>
    <col min="16139" max="16142" width="8.77734375" customWidth="1"/>
    <col min="16143" max="16143" width="1.21875" customWidth="1"/>
    <col min="16144" max="16145" width="9.44140625" customWidth="1"/>
    <col min="16146" max="16146" width="0.77734375" customWidth="1"/>
    <col min="16147" max="16147" width="9.77734375" bestFit="1" customWidth="1"/>
    <col min="16148" max="16148" width="8.77734375" customWidth="1"/>
    <col min="16152" max="16152" width="14" bestFit="1" customWidth="1"/>
    <col min="16154" max="16154" width="22.21875" bestFit="1" customWidth="1"/>
  </cols>
  <sheetData>
    <row r="1" spans="1:26" ht="21" x14ac:dyDescent="0.4">
      <c r="A1" s="73" t="s">
        <v>70</v>
      </c>
    </row>
    <row r="2" spans="1:26" x14ac:dyDescent="0.3">
      <c r="A2" t="s">
        <v>71</v>
      </c>
    </row>
    <row r="4" spans="1:26" x14ac:dyDescent="0.3">
      <c r="A4" t="s">
        <v>72</v>
      </c>
      <c r="C4" s="74" t="s">
        <v>228</v>
      </c>
    </row>
    <row r="5" spans="1:26" x14ac:dyDescent="0.3">
      <c r="A5" t="s">
        <v>73</v>
      </c>
      <c r="C5" s="74" t="s">
        <v>229</v>
      </c>
    </row>
    <row r="6" spans="1:26" x14ac:dyDescent="0.3">
      <c r="A6" t="s">
        <v>74</v>
      </c>
      <c r="C6" s="74" t="s">
        <v>189</v>
      </c>
      <c r="L6" s="75"/>
    </row>
    <row r="7" spans="1:26" x14ac:dyDescent="0.3">
      <c r="L7" s="75"/>
    </row>
    <row r="8" spans="1:26" outlineLevel="1" x14ac:dyDescent="0.3">
      <c r="B8" s="76" t="s">
        <v>159</v>
      </c>
      <c r="C8" s="76"/>
      <c r="D8" s="76" t="s">
        <v>75</v>
      </c>
      <c r="E8" s="76" t="s">
        <v>161</v>
      </c>
      <c r="F8" s="76" t="s">
        <v>162</v>
      </c>
      <c r="G8" s="76" t="s">
        <v>231</v>
      </c>
      <c r="H8" s="76" t="s">
        <v>232</v>
      </c>
      <c r="I8" s="76" t="s">
        <v>233</v>
      </c>
      <c r="J8" s="76" t="s">
        <v>234</v>
      </c>
      <c r="K8" s="76"/>
      <c r="L8" s="76" t="s">
        <v>235</v>
      </c>
      <c r="M8" s="76" t="s">
        <v>237</v>
      </c>
      <c r="N8" s="76" t="s">
        <v>236</v>
      </c>
      <c r="O8" s="76" t="s">
        <v>240</v>
      </c>
      <c r="P8" s="76"/>
      <c r="Q8" s="76" t="s">
        <v>239</v>
      </c>
      <c r="R8" s="76" t="s">
        <v>241</v>
      </c>
      <c r="S8" s="76" t="s">
        <v>242</v>
      </c>
      <c r="T8" s="76" t="s">
        <v>238</v>
      </c>
      <c r="U8" s="76" t="s">
        <v>168</v>
      </c>
    </row>
    <row r="9" spans="1:26" ht="15" customHeight="1" x14ac:dyDescent="0.3">
      <c r="A9" s="59"/>
      <c r="B9" s="189" t="s">
        <v>17</v>
      </c>
      <c r="C9" s="189" t="s">
        <v>76</v>
      </c>
      <c r="D9" s="59"/>
      <c r="E9" s="59"/>
      <c r="F9" s="59"/>
      <c r="G9" s="178" t="s">
        <v>77</v>
      </c>
      <c r="H9" s="178"/>
      <c r="I9" s="178"/>
      <c r="J9" s="178"/>
      <c r="K9" s="59"/>
      <c r="L9" s="178" t="s">
        <v>78</v>
      </c>
      <c r="M9" s="178"/>
      <c r="N9" s="178"/>
      <c r="O9" s="178"/>
      <c r="P9" s="77"/>
      <c r="Q9" s="188" t="s">
        <v>79</v>
      </c>
      <c r="R9" s="188"/>
      <c r="S9" s="188"/>
      <c r="T9" s="188"/>
      <c r="U9" s="75"/>
    </row>
    <row r="10" spans="1:26" x14ac:dyDescent="0.3">
      <c r="A10" s="78" t="s">
        <v>80</v>
      </c>
      <c r="B10" s="189"/>
      <c r="C10" s="189"/>
      <c r="D10" s="77" t="s">
        <v>81</v>
      </c>
      <c r="E10" s="77" t="s">
        <v>26</v>
      </c>
      <c r="F10" s="77" t="s">
        <v>82</v>
      </c>
      <c r="G10" s="77" t="s">
        <v>83</v>
      </c>
      <c r="H10" s="77" t="s">
        <v>84</v>
      </c>
      <c r="I10" s="77" t="s">
        <v>85</v>
      </c>
      <c r="J10" s="77" t="s">
        <v>86</v>
      </c>
      <c r="K10" s="77"/>
      <c r="L10" s="77" t="s">
        <v>83</v>
      </c>
      <c r="M10" s="77" t="s">
        <v>84</v>
      </c>
      <c r="N10" s="77" t="s">
        <v>85</v>
      </c>
      <c r="O10" s="77" t="s">
        <v>86</v>
      </c>
      <c r="P10" s="77"/>
      <c r="Q10" s="77" t="s">
        <v>83</v>
      </c>
      <c r="R10" s="77" t="s">
        <v>84</v>
      </c>
      <c r="S10" s="77" t="s">
        <v>85</v>
      </c>
      <c r="T10" s="77" t="s">
        <v>86</v>
      </c>
      <c r="U10" s="59" t="s">
        <v>87</v>
      </c>
    </row>
    <row r="11" spans="1:26" x14ac:dyDescent="0.3">
      <c r="A11" t="s">
        <v>230</v>
      </c>
      <c r="B11" t="str">
        <f ca="1">INDIRECT($A11&amp;"!"&amp;B$8)</f>
        <v>INR</v>
      </c>
      <c r="C11" s="79"/>
      <c r="D11">
        <f t="shared" ref="D11:G14" ca="1" si="0">INDIRECT($A11&amp;"!"&amp;D$8)</f>
        <v>9020</v>
      </c>
      <c r="E11">
        <f t="shared" ca="1" si="0"/>
        <v>1911912.82656</v>
      </c>
      <c r="F11">
        <f t="shared" ca="1" si="0"/>
        <v>1864520.32656</v>
      </c>
      <c r="G11" s="205">
        <f ca="1">$F11/INDIRECT($A11&amp;"!"&amp;G$8)</f>
        <v>16.773800648633863</v>
      </c>
      <c r="H11" s="204">
        <f t="shared" ref="H11:J14" ca="1" si="1">$F11/INDIRECT($A11&amp;"!"&amp;H$8)</f>
        <v>105.36096553329752</v>
      </c>
      <c r="I11" s="204">
        <f t="shared" ca="1" si="1"/>
        <v>113.29029381391304</v>
      </c>
      <c r="J11" s="204">
        <f ca="1">$D11/INDIRECT($A11&amp;"!"&amp;J$8)</f>
        <v>130.68511376922075</v>
      </c>
      <c r="L11" s="204">
        <f t="shared" ref="L11:S14" ca="1" si="2">$F11/INDIRECT($A11&amp;"!"&amp;L$8)</f>
        <v>13.708750686974071</v>
      </c>
      <c r="M11" s="204">
        <f t="shared" ca="1" si="2"/>
        <v>86.051474630668054</v>
      </c>
      <c r="N11" s="204">
        <f t="shared" ca="1" si="2"/>
        <v>92.458609866111274</v>
      </c>
      <c r="O11" s="204">
        <f t="shared" ref="O11:O14" ca="1" si="3">$D11/INDIRECT($A11&amp;"!"&amp;O$8)</f>
        <v>107.03690518571258</v>
      </c>
      <c r="Q11" s="204">
        <f t="shared" ca="1" si="2"/>
        <v>11.406445085463288</v>
      </c>
      <c r="R11" s="204">
        <f t="shared" ca="1" si="2"/>
        <v>71.215183490632697</v>
      </c>
      <c r="S11" s="204">
        <f t="shared" ca="1" si="2"/>
        <v>77.928626872857976</v>
      </c>
      <c r="T11" s="204">
        <f t="shared" ref="T11:T14" ca="1" si="4">$D11/INDIRECT($A11&amp;"!"&amp;T$8)</f>
        <v>89.23404150075433</v>
      </c>
    </row>
    <row r="12" spans="1:26" x14ac:dyDescent="0.3">
      <c r="A12" t="s">
        <v>193</v>
      </c>
      <c r="B12" t="str">
        <f t="shared" ref="B12:K14" ca="1" si="5">INDIRECT($A12&amp;"!"&amp;B$8)</f>
        <v>INR</v>
      </c>
      <c r="C12" s="79"/>
      <c r="D12">
        <f t="shared" ca="1" si="0"/>
        <v>7790.3</v>
      </c>
      <c r="E12">
        <f t="shared" ca="1" si="0"/>
        <v>2774283.6225264999</v>
      </c>
      <c r="F12">
        <f t="shared" ca="1" si="0"/>
        <v>2704097.0506624342</v>
      </c>
      <c r="G12" s="204">
        <f t="shared" ref="G12:I14" ca="1" si="6">$F12/INDIRECT($A12&amp;"!"&amp;G$8)</f>
        <v>12.721570618472121</v>
      </c>
      <c r="H12" s="204">
        <f t="shared" ca="1" si="1"/>
        <v>98.650069339405135</v>
      </c>
      <c r="I12" s="204">
        <f t="shared" ca="1" si="1"/>
        <v>111.9060193123007</v>
      </c>
      <c r="J12" s="206">
        <f t="shared" ref="J12:J14" ca="1" si="7">$D12/INDIRECT($A12&amp;"!"&amp;J$8)</f>
        <v>119.6692926033835</v>
      </c>
      <c r="L12" s="204">
        <f t="shared" ca="1" si="2"/>
        <v>11.164266754727031</v>
      </c>
      <c r="M12" s="204">
        <f t="shared" ca="1" si="2"/>
        <v>83.400581397848256</v>
      </c>
      <c r="N12" s="204">
        <f t="shared" ca="1" si="2"/>
        <v>93.073022206014215</v>
      </c>
      <c r="O12" s="204">
        <f t="shared" ca="1" si="3"/>
        <v>100.03595505617977</v>
      </c>
      <c r="Q12" s="204">
        <f t="shared" ca="1" si="2"/>
        <v>9.1124356378558033</v>
      </c>
      <c r="R12" s="204">
        <f t="shared" ca="1" si="2"/>
        <v>66.646876672272157</v>
      </c>
      <c r="S12" s="204">
        <f t="shared" ca="1" si="2"/>
        <v>76.060335583439311</v>
      </c>
      <c r="T12" s="204">
        <f t="shared" ca="1" si="4"/>
        <v>81.043433029908968</v>
      </c>
    </row>
    <row r="13" spans="1:26" x14ac:dyDescent="0.3">
      <c r="A13" t="s">
        <v>195</v>
      </c>
      <c r="B13" t="str">
        <f t="shared" ca="1" si="5"/>
        <v>INR</v>
      </c>
      <c r="C13" s="79"/>
      <c r="D13">
        <f t="shared" ca="1" si="0"/>
        <v>688.90000000000009</v>
      </c>
      <c r="E13">
        <f t="shared" ca="1" si="0"/>
        <v>1053186.8347656</v>
      </c>
      <c r="F13">
        <f t="shared" ca="1" si="0"/>
        <v>1039408.3489638072</v>
      </c>
      <c r="G13" s="204">
        <f t="shared" ca="1" si="6"/>
        <v>12.918356110303622</v>
      </c>
      <c r="H13" s="206">
        <f t="shared" ca="1" si="1"/>
        <v>92.140412293900837</v>
      </c>
      <c r="I13" s="204">
        <f t="shared" ca="1" si="1"/>
        <v>100.60283290073434</v>
      </c>
      <c r="J13" s="204">
        <f t="shared" ca="1" si="7"/>
        <v>125.17444829265335</v>
      </c>
      <c r="L13" s="204">
        <f t="shared" ca="1" si="2"/>
        <v>10.572225489129911</v>
      </c>
      <c r="M13" s="204">
        <f t="shared" ca="1" si="2"/>
        <v>71.236265435118028</v>
      </c>
      <c r="N13" s="204">
        <f t="shared" ca="1" si="2"/>
        <v>77.021737603839</v>
      </c>
      <c r="O13" s="204">
        <f t="shared" ca="1" si="3"/>
        <v>97.56408440730776</v>
      </c>
      <c r="Q13" s="204">
        <f t="shared" ca="1" si="2"/>
        <v>8.5484690267604844</v>
      </c>
      <c r="R13" s="204">
        <f t="shared" ca="1" si="2"/>
        <v>55.738328451512615</v>
      </c>
      <c r="S13" s="204">
        <f t="shared" ca="1" si="2"/>
        <v>60.681204329721943</v>
      </c>
      <c r="T13" s="204">
        <f t="shared" ca="1" si="4"/>
        <v>75.512441082977105</v>
      </c>
    </row>
    <row r="14" spans="1:26" x14ac:dyDescent="0.3">
      <c r="A14" t="s">
        <v>197</v>
      </c>
      <c r="B14" t="str">
        <f t="shared" ca="1" si="5"/>
        <v>INR</v>
      </c>
      <c r="C14" s="79"/>
      <c r="D14">
        <f t="shared" ca="1" si="0"/>
        <v>305.64999999999998</v>
      </c>
      <c r="E14">
        <f t="shared" ca="1" si="0"/>
        <v>1064292.6644557498</v>
      </c>
      <c r="F14">
        <f t="shared" ca="1" si="0"/>
        <v>1092692.86445575</v>
      </c>
      <c r="G14" s="206">
        <f t="shared" ca="1" si="6"/>
        <v>4.573318234444673</v>
      </c>
      <c r="H14" s="205">
        <f t="shared" ca="1" si="1"/>
        <v>178.36971342731798</v>
      </c>
      <c r="I14" s="204">
        <f t="shared" ca="1" si="1"/>
        <v>300.4379610821419</v>
      </c>
      <c r="J14" s="205">
        <f t="shared" ca="1" si="7"/>
        <v>377.34567901234561</v>
      </c>
      <c r="L14" s="204">
        <f t="shared" ca="1" si="2"/>
        <v>3.4530698122422505</v>
      </c>
      <c r="M14" s="204">
        <f t="shared" ca="1" si="2"/>
        <v>52.154687817085104</v>
      </c>
      <c r="N14" s="204">
        <f t="shared" ca="1" si="2"/>
        <v>59.998510018435645</v>
      </c>
      <c r="O14" s="204">
        <f t="shared" ca="1" si="3"/>
        <v>76.240957844849078</v>
      </c>
      <c r="Q14" s="204">
        <f t="shared" ca="1" si="2"/>
        <v>2.7265449094491481</v>
      </c>
      <c r="R14" s="204">
        <f t="shared" ca="1" si="2"/>
        <v>27.424276288920538</v>
      </c>
      <c r="S14" s="204">
        <f t="shared" ca="1" si="2"/>
        <v>28.82714323851075</v>
      </c>
      <c r="T14" s="204">
        <f t="shared" ca="1" si="4"/>
        <v>37.69268713774818</v>
      </c>
    </row>
    <row r="15" spans="1:26" ht="3.75" customHeight="1" thickBot="1" x14ac:dyDescent="0.35">
      <c r="B15" s="83"/>
      <c r="C15" s="79"/>
      <c r="D15" s="66"/>
      <c r="E15" s="84"/>
      <c r="F15" s="84"/>
      <c r="G15" s="84"/>
      <c r="H15" s="84"/>
      <c r="I15" s="85"/>
      <c r="J15" s="84"/>
      <c r="K15" s="84"/>
      <c r="L15" s="82"/>
      <c r="M15" s="84"/>
      <c r="N15" s="84"/>
      <c r="O15" s="84"/>
      <c r="P15" s="84"/>
      <c r="Q15" s="84"/>
      <c r="R15" s="84"/>
      <c r="S15" s="84"/>
      <c r="T15" s="84"/>
      <c r="V15" s="82"/>
      <c r="Z15" s="86" t="e">
        <f>#REF!*Y15+#REF!</f>
        <v>#REF!</v>
      </c>
    </row>
    <row r="16" spans="1:26" ht="15" thickBot="1" x14ac:dyDescent="0.35">
      <c r="B16" s="83"/>
      <c r="C16" s="66"/>
      <c r="D16" s="66"/>
      <c r="E16" s="84"/>
      <c r="F16" s="112" t="s">
        <v>88</v>
      </c>
      <c r="G16" s="104">
        <f ca="1">MEDIAN(G11:G14)</f>
        <v>12.819963364387871</v>
      </c>
      <c r="H16" s="104">
        <f t="shared" ref="H16:T16" ca="1" si="8">MEDIAN(H11:H14)</f>
        <v>102.00551743635133</v>
      </c>
      <c r="I16" s="104">
        <f t="shared" ca="1" si="8"/>
        <v>112.59815656310687</v>
      </c>
      <c r="J16" s="104">
        <f t="shared" ca="1" si="8"/>
        <v>127.92978103093705</v>
      </c>
      <c r="K16" s="104" t="e">
        <f t="shared" si="8"/>
        <v>#NUM!</v>
      </c>
      <c r="L16" s="104">
        <f t="shared" ca="1" si="8"/>
        <v>10.868246121928472</v>
      </c>
      <c r="M16" s="104">
        <f t="shared" ca="1" si="8"/>
        <v>77.318423416483142</v>
      </c>
      <c r="N16" s="104">
        <f t="shared" ca="1" si="8"/>
        <v>84.740173734975144</v>
      </c>
      <c r="O16" s="104">
        <f t="shared" ca="1" si="8"/>
        <v>98.80001973174376</v>
      </c>
      <c r="P16" s="104" t="e">
        <f t="shared" si="8"/>
        <v>#NUM!</v>
      </c>
      <c r="Q16" s="104">
        <f t="shared" ca="1" si="8"/>
        <v>8.8304523323081447</v>
      </c>
      <c r="R16" s="104">
        <f t="shared" ca="1" si="8"/>
        <v>61.192602561892386</v>
      </c>
      <c r="S16" s="104">
        <f t="shared" ca="1" si="8"/>
        <v>68.370769956580631</v>
      </c>
      <c r="T16" s="104">
        <f t="shared" ca="1" si="8"/>
        <v>78.277937056443037</v>
      </c>
      <c r="U16" s="105"/>
      <c r="V16" s="113"/>
    </row>
    <row r="17" spans="1:22" ht="15" thickBot="1" x14ac:dyDescent="0.35">
      <c r="B17" s="83"/>
      <c r="C17" s="66"/>
      <c r="D17" s="66"/>
      <c r="E17" s="84"/>
      <c r="F17" s="106" t="s">
        <v>118</v>
      </c>
      <c r="G17" s="104"/>
      <c r="H17" s="104"/>
      <c r="I17" s="104"/>
      <c r="J17" s="104"/>
      <c r="K17" s="104"/>
      <c r="L17" s="104"/>
      <c r="M17" s="104"/>
      <c r="N17" s="104"/>
      <c r="O17" s="104"/>
      <c r="P17" s="104"/>
      <c r="Q17" s="104"/>
      <c r="R17" s="104"/>
      <c r="S17" s="104"/>
      <c r="T17" s="104"/>
      <c r="U17" s="105"/>
      <c r="V17" s="107"/>
    </row>
    <row r="18" spans="1:22" ht="15" thickBot="1" x14ac:dyDescent="0.35">
      <c r="B18" s="83"/>
      <c r="C18" s="66"/>
      <c r="D18" s="66"/>
      <c r="E18" s="84"/>
      <c r="F18" s="108" t="s">
        <v>119</v>
      </c>
      <c r="G18" s="114"/>
      <c r="H18" s="114"/>
      <c r="I18" s="114"/>
      <c r="J18" s="114"/>
      <c r="K18" s="114"/>
      <c r="L18" s="114"/>
      <c r="M18" s="114"/>
      <c r="N18" s="114"/>
      <c r="O18" s="114"/>
      <c r="P18" s="114"/>
      <c r="Q18" s="114"/>
      <c r="R18" s="114"/>
      <c r="S18" s="114"/>
      <c r="T18" s="114"/>
      <c r="U18" s="115"/>
      <c r="V18" s="109"/>
    </row>
    <row r="19" spans="1:22" x14ac:dyDescent="0.3">
      <c r="B19" s="83"/>
      <c r="C19" s="83"/>
      <c r="D19" s="87"/>
      <c r="E19" s="80"/>
      <c r="F19" s="80"/>
      <c r="G19" s="84"/>
      <c r="H19" s="84"/>
      <c r="I19" s="85"/>
      <c r="J19" s="84"/>
      <c r="K19" s="84"/>
      <c r="S19" s="84"/>
      <c r="T19" s="84"/>
      <c r="U19" s="84"/>
      <c r="V19" s="84"/>
    </row>
    <row r="20" spans="1:22" x14ac:dyDescent="0.3">
      <c r="J20" s="80"/>
      <c r="K20" s="80"/>
      <c r="L20" s="88"/>
      <c r="M20" s="84"/>
      <c r="N20" s="84"/>
      <c r="O20" s="84"/>
      <c r="P20" s="84"/>
      <c r="Q20" s="84"/>
      <c r="R20" s="84"/>
      <c r="S20" s="84"/>
      <c r="T20" s="84"/>
      <c r="U20" s="84"/>
      <c r="V20" s="84"/>
    </row>
    <row r="21" spans="1:22" ht="3.75" customHeight="1" x14ac:dyDescent="0.3">
      <c r="J21" s="80"/>
      <c r="K21" s="80"/>
      <c r="R21" s="84"/>
      <c r="S21" s="84"/>
      <c r="T21" s="84"/>
    </row>
    <row r="22" spans="1:22" x14ac:dyDescent="0.3">
      <c r="A22" s="89"/>
      <c r="B22" s="89"/>
      <c r="H22" t="s">
        <v>243</v>
      </c>
      <c r="J22" s="90"/>
      <c r="K22" s="90"/>
      <c r="L22" s="75"/>
      <c r="M22" s="84"/>
      <c r="N22" s="84"/>
      <c r="O22" s="84"/>
    </row>
    <row r="23" spans="1:22" x14ac:dyDescent="0.3">
      <c r="J23" s="90"/>
      <c r="K23" s="90"/>
      <c r="L23" s="81"/>
    </row>
    <row r="24" spans="1:22" x14ac:dyDescent="0.3">
      <c r="B24" s="91"/>
      <c r="L24" s="92"/>
    </row>
    <row r="25" spans="1:22" x14ac:dyDescent="0.3">
      <c r="A25" s="146" t="s">
        <v>244</v>
      </c>
    </row>
    <row r="27" spans="1:22" x14ac:dyDescent="0.3">
      <c r="A27" s="146" t="s">
        <v>83</v>
      </c>
      <c r="C27" t="s">
        <v>245</v>
      </c>
    </row>
    <row r="28" spans="1:22" x14ac:dyDescent="0.3">
      <c r="C28" t="s">
        <v>246</v>
      </c>
    </row>
    <row r="29" spans="1:22" x14ac:dyDescent="0.3">
      <c r="A29" s="93"/>
      <c r="B29" s="93"/>
      <c r="C29" s="93"/>
      <c r="D29" s="93"/>
      <c r="E29" s="93"/>
      <c r="F29" s="93"/>
      <c r="G29" s="93"/>
      <c r="H29" s="93"/>
    </row>
    <row r="30" spans="1:22" x14ac:dyDescent="0.3">
      <c r="A30" s="146" t="s">
        <v>86</v>
      </c>
      <c r="C30" t="s">
        <v>247</v>
      </c>
    </row>
    <row r="31" spans="1:22" x14ac:dyDescent="0.3">
      <c r="C31" t="s">
        <v>248</v>
      </c>
      <c r="L31" t="s">
        <v>251</v>
      </c>
    </row>
    <row r="32" spans="1:22" x14ac:dyDescent="0.3">
      <c r="C32" t="s">
        <v>249</v>
      </c>
      <c r="L32" t="s">
        <v>250</v>
      </c>
    </row>
    <row r="33" spans="1:20" x14ac:dyDescent="0.3">
      <c r="C33" s="213" t="s">
        <v>258</v>
      </c>
      <c r="D33" s="213"/>
      <c r="E33" s="213"/>
      <c r="F33" s="213"/>
      <c r="G33" s="213"/>
      <c r="H33" s="213"/>
      <c r="I33" s="213"/>
      <c r="J33" s="213"/>
      <c r="K33" s="213"/>
      <c r="L33" s="213"/>
      <c r="M33" s="213"/>
      <c r="N33" s="213"/>
      <c r="O33" s="213"/>
      <c r="P33" s="213"/>
      <c r="Q33" s="213"/>
    </row>
    <row r="34" spans="1:20" x14ac:dyDescent="0.3">
      <c r="C34" s="213"/>
      <c r="D34" s="213"/>
      <c r="E34" s="213"/>
      <c r="F34" s="213"/>
      <c r="G34" s="213"/>
      <c r="H34" s="213"/>
      <c r="I34" s="213"/>
      <c r="J34" s="213"/>
      <c r="K34" s="213"/>
      <c r="L34" s="213"/>
      <c r="M34" s="213"/>
      <c r="N34" s="213"/>
      <c r="O34" s="213"/>
      <c r="P34" s="213"/>
      <c r="Q34" s="213"/>
    </row>
    <row r="35" spans="1:20" x14ac:dyDescent="0.3">
      <c r="C35" s="214"/>
      <c r="D35" s="214"/>
      <c r="E35" s="214"/>
      <c r="F35" s="214"/>
      <c r="G35" s="214"/>
      <c r="H35" s="214"/>
      <c r="I35" s="214"/>
      <c r="J35" s="214"/>
      <c r="K35" s="214"/>
      <c r="L35" s="214"/>
      <c r="M35" s="214"/>
      <c r="N35" s="214"/>
      <c r="O35" s="214"/>
      <c r="P35" s="214"/>
      <c r="Q35" s="214"/>
      <c r="R35" s="215"/>
      <c r="S35" s="215"/>
      <c r="T35" s="215"/>
    </row>
    <row r="36" spans="1:20" x14ac:dyDescent="0.3">
      <c r="A36" s="146" t="s">
        <v>85</v>
      </c>
      <c r="C36" t="s">
        <v>252</v>
      </c>
    </row>
    <row r="37" spans="1:20" x14ac:dyDescent="0.3">
      <c r="C37" t="s">
        <v>253</v>
      </c>
    </row>
    <row r="38" spans="1:20" x14ac:dyDescent="0.3">
      <c r="C38" t="s">
        <v>254</v>
      </c>
      <c r="T38" t="s">
        <v>255</v>
      </c>
    </row>
    <row r="39" spans="1:20" x14ac:dyDescent="0.3">
      <c r="C39" s="212" t="s">
        <v>256</v>
      </c>
    </row>
    <row r="40" spans="1:20" x14ac:dyDescent="0.3">
      <c r="C40" t="s">
        <v>257</v>
      </c>
    </row>
    <row r="43" spans="1:20" x14ac:dyDescent="0.3">
      <c r="A43" s="146" t="s">
        <v>84</v>
      </c>
      <c r="C43" t="s">
        <v>259</v>
      </c>
    </row>
    <row r="44" spans="1:20" x14ac:dyDescent="0.3">
      <c r="C44" s="217" t="s">
        <v>260</v>
      </c>
      <c r="D44" s="217"/>
      <c r="E44" s="217"/>
      <c r="F44" s="217"/>
      <c r="G44" s="217"/>
      <c r="H44" s="217"/>
      <c r="I44" s="217"/>
      <c r="J44" s="217"/>
      <c r="K44" s="217"/>
      <c r="L44" s="217"/>
      <c r="M44" s="217"/>
      <c r="N44" s="217"/>
      <c r="O44" s="217"/>
      <c r="P44" s="217"/>
      <c r="Q44" s="217"/>
    </row>
    <row r="45" spans="1:20" x14ac:dyDescent="0.3">
      <c r="C45" s="217"/>
      <c r="D45" s="217"/>
      <c r="E45" s="217"/>
      <c r="F45" s="217"/>
      <c r="G45" s="217"/>
      <c r="H45" s="217"/>
      <c r="I45" s="217"/>
      <c r="J45" s="217"/>
      <c r="K45" s="217"/>
      <c r="L45" s="217"/>
      <c r="M45" s="217"/>
      <c r="N45" s="217"/>
      <c r="O45" s="217"/>
      <c r="P45" s="217"/>
      <c r="Q45" s="217"/>
    </row>
    <row r="47" spans="1:20" x14ac:dyDescent="0.3">
      <c r="A47" s="146" t="s">
        <v>261</v>
      </c>
      <c r="C47" t="s">
        <v>262</v>
      </c>
    </row>
    <row r="48" spans="1:20" ht="14.4" customHeight="1" x14ac:dyDescent="0.3">
      <c r="C48" s="217" t="s">
        <v>263</v>
      </c>
      <c r="D48" s="217"/>
      <c r="E48" s="217"/>
      <c r="F48" s="217"/>
      <c r="G48" s="217"/>
      <c r="H48" s="217"/>
      <c r="I48" s="217"/>
      <c r="J48" s="217"/>
      <c r="K48" s="217"/>
      <c r="L48" s="217"/>
      <c r="M48" s="217"/>
      <c r="N48" s="217"/>
      <c r="O48" s="217"/>
      <c r="P48" s="217"/>
      <c r="Q48" s="217"/>
      <c r="R48" s="217"/>
    </row>
    <row r="49" spans="1:18" x14ac:dyDescent="0.3">
      <c r="C49" s="217"/>
      <c r="D49" s="217"/>
      <c r="E49" s="217"/>
      <c r="F49" s="217"/>
      <c r="G49" s="217"/>
      <c r="H49" s="217"/>
      <c r="I49" s="217"/>
      <c r="J49" s="217"/>
      <c r="K49" s="217"/>
      <c r="L49" s="217"/>
      <c r="M49" s="217"/>
      <c r="N49" s="217"/>
      <c r="O49" s="217"/>
      <c r="P49" s="217"/>
      <c r="Q49" s="217"/>
      <c r="R49" s="217"/>
    </row>
    <row r="50" spans="1:18" x14ac:dyDescent="0.3">
      <c r="C50" s="217"/>
      <c r="D50" s="217"/>
      <c r="E50" s="217"/>
      <c r="F50" s="217"/>
      <c r="G50" s="217"/>
      <c r="H50" s="217"/>
      <c r="I50" s="217"/>
      <c r="J50" s="217"/>
      <c r="K50" s="217"/>
      <c r="L50" s="217"/>
      <c r="M50" s="217"/>
      <c r="N50" s="217"/>
      <c r="O50" s="217"/>
      <c r="P50" s="217"/>
      <c r="Q50" s="217"/>
      <c r="R50" s="217"/>
    </row>
    <row r="54" spans="1:18" x14ac:dyDescent="0.3">
      <c r="A54" s="146" t="s">
        <v>264</v>
      </c>
    </row>
    <row r="55" spans="1:18" x14ac:dyDescent="0.3">
      <c r="C55" s="216" t="s">
        <v>265</v>
      </c>
      <c r="D55" s="216"/>
      <c r="E55" s="216"/>
      <c r="F55" s="216"/>
      <c r="G55" s="216"/>
      <c r="H55" s="216"/>
      <c r="I55" s="216"/>
      <c r="J55" s="216"/>
      <c r="K55" s="216"/>
      <c r="L55" s="216"/>
      <c r="M55" s="216"/>
      <c r="N55" s="216"/>
      <c r="O55" s="216"/>
      <c r="P55" s="216"/>
      <c r="Q55" s="216"/>
    </row>
    <row r="56" spans="1:18" x14ac:dyDescent="0.3">
      <c r="C56" s="216"/>
      <c r="D56" s="216"/>
      <c r="E56" s="216"/>
      <c r="F56" s="216"/>
      <c r="G56" s="216"/>
      <c r="H56" s="216"/>
      <c r="I56" s="216"/>
      <c r="J56" s="216"/>
      <c r="K56" s="216"/>
      <c r="L56" s="216"/>
      <c r="M56" s="216"/>
      <c r="N56" s="216"/>
      <c r="O56" s="216"/>
      <c r="P56" s="216"/>
      <c r="Q56" s="216"/>
    </row>
    <row r="57" spans="1:18" x14ac:dyDescent="0.3">
      <c r="C57" s="216"/>
      <c r="D57" s="216"/>
      <c r="E57" s="216"/>
      <c r="F57" s="216"/>
      <c r="G57" s="216"/>
      <c r="H57" s="216"/>
      <c r="I57" s="216"/>
      <c r="J57" s="216"/>
      <c r="K57" s="216"/>
      <c r="L57" s="216"/>
      <c r="M57" s="216"/>
      <c r="N57" s="216"/>
      <c r="O57" s="216"/>
      <c r="P57" s="216"/>
      <c r="Q57" s="216"/>
    </row>
    <row r="59" spans="1:18" x14ac:dyDescent="0.3">
      <c r="C59" t="s">
        <v>266</v>
      </c>
    </row>
    <row r="61" spans="1:18" x14ac:dyDescent="0.3">
      <c r="C61" t="s">
        <v>267</v>
      </c>
    </row>
  </sheetData>
  <mergeCells count="9">
    <mergeCell ref="C55:Q57"/>
    <mergeCell ref="C33:Q34"/>
    <mergeCell ref="C44:Q45"/>
    <mergeCell ref="C48:R50"/>
    <mergeCell ref="Q9:T9"/>
    <mergeCell ref="B9:B10"/>
    <mergeCell ref="C9:C10"/>
    <mergeCell ref="G9:J9"/>
    <mergeCell ref="L9:O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80"/>
  <sheetViews>
    <sheetView showGridLines="0" topLeftCell="C54" zoomScaleNormal="100" workbookViewId="0">
      <selection activeCell="P64" sqref="P64"/>
    </sheetView>
  </sheetViews>
  <sheetFormatPr defaultColWidth="11.44140625" defaultRowHeight="16.8" x14ac:dyDescent="0.45"/>
  <cols>
    <col min="1" max="1" width="3.21875" style="3" customWidth="1"/>
    <col min="2" max="2" width="33.77734375" style="3" customWidth="1"/>
    <col min="3" max="3" width="11.44140625" style="3"/>
    <col min="4" max="4" width="10.77734375" style="3" bestFit="1" customWidth="1"/>
    <col min="5" max="5" width="10.77734375" style="3" customWidth="1"/>
    <col min="6" max="7" width="11.21875" style="3" bestFit="1" customWidth="1"/>
    <col min="8" max="8" width="14" style="3" customWidth="1"/>
    <col min="9" max="9" width="13" style="3" customWidth="1"/>
    <col min="10" max="10" width="11.77734375" style="3" bestFit="1" customWidth="1"/>
    <col min="11" max="11" width="12" style="3" bestFit="1" customWidth="1"/>
    <col min="12" max="12" width="11.44140625" style="3"/>
    <col min="13" max="13" width="12" style="3" bestFit="1" customWidth="1"/>
    <col min="14" max="14" width="10.44140625" style="3" customWidth="1"/>
    <col min="15" max="15" width="11.77734375" style="3" bestFit="1" customWidth="1"/>
    <col min="16" max="16" width="11.21875" style="3" bestFit="1" customWidth="1"/>
    <col min="17" max="18" width="11.44140625" style="3"/>
    <col min="19" max="19" width="2.21875" style="3" customWidth="1"/>
    <col min="20" max="255" width="11.44140625" style="3"/>
    <col min="256" max="256" width="3.21875" style="3" customWidth="1"/>
    <col min="257" max="257" width="33.77734375" style="3" customWidth="1"/>
    <col min="258" max="258" width="11.44140625" style="3"/>
    <col min="259" max="259" width="10.77734375" style="3" bestFit="1" customWidth="1"/>
    <col min="260" max="260" width="10.77734375" style="3" customWidth="1"/>
    <col min="261" max="261" width="11.21875" style="3" bestFit="1" customWidth="1"/>
    <col min="262" max="262" width="11.44140625" style="3"/>
    <col min="263" max="263" width="12.44140625" style="3" customWidth="1"/>
    <col min="264" max="264" width="11.44140625" style="3"/>
    <col min="265" max="265" width="9.77734375" style="3" bestFit="1" customWidth="1"/>
    <col min="266" max="266" width="12" style="3" bestFit="1" customWidth="1"/>
    <col min="267" max="267" width="11.44140625" style="3"/>
    <col min="268" max="268" width="12" style="3" bestFit="1" customWidth="1"/>
    <col min="269" max="269" width="10.44140625" style="3" customWidth="1"/>
    <col min="270" max="270" width="11.77734375" style="3" bestFit="1" customWidth="1"/>
    <col min="271" max="271" width="11.21875" style="3" bestFit="1" customWidth="1"/>
    <col min="272" max="274" width="11.44140625" style="3"/>
    <col min="275" max="275" width="2.21875" style="3" customWidth="1"/>
    <col min="276" max="511" width="11.44140625" style="3"/>
    <col min="512" max="512" width="3.21875" style="3" customWidth="1"/>
    <col min="513" max="513" width="33.77734375" style="3" customWidth="1"/>
    <col min="514" max="514" width="11.44140625" style="3"/>
    <col min="515" max="515" width="10.77734375" style="3" bestFit="1" customWidth="1"/>
    <col min="516" max="516" width="10.77734375" style="3" customWidth="1"/>
    <col min="517" max="517" width="11.21875" style="3" bestFit="1" customWidth="1"/>
    <col min="518" max="518" width="11.44140625" style="3"/>
    <col min="519" max="519" width="12.44140625" style="3" customWidth="1"/>
    <col min="520" max="520" width="11.44140625" style="3"/>
    <col min="521" max="521" width="9.77734375" style="3" bestFit="1" customWidth="1"/>
    <col min="522" max="522" width="12" style="3" bestFit="1" customWidth="1"/>
    <col min="523" max="523" width="11.44140625" style="3"/>
    <col min="524" max="524" width="12" style="3" bestFit="1" customWidth="1"/>
    <col min="525" max="525" width="10.44140625" style="3" customWidth="1"/>
    <col min="526" max="526" width="11.77734375" style="3" bestFit="1" customWidth="1"/>
    <col min="527" max="527" width="11.21875" style="3" bestFit="1" customWidth="1"/>
    <col min="528" max="530" width="11.44140625" style="3"/>
    <col min="531" max="531" width="2.21875" style="3" customWidth="1"/>
    <col min="532" max="767" width="11.44140625" style="3"/>
    <col min="768" max="768" width="3.21875" style="3" customWidth="1"/>
    <col min="769" max="769" width="33.77734375" style="3" customWidth="1"/>
    <col min="770" max="770" width="11.44140625" style="3"/>
    <col min="771" max="771" width="10.77734375" style="3" bestFit="1" customWidth="1"/>
    <col min="772" max="772" width="10.77734375" style="3" customWidth="1"/>
    <col min="773" max="773" width="11.21875" style="3" bestFit="1" customWidth="1"/>
    <col min="774" max="774" width="11.44140625" style="3"/>
    <col min="775" max="775" width="12.44140625" style="3" customWidth="1"/>
    <col min="776" max="776" width="11.44140625" style="3"/>
    <col min="777" max="777" width="9.77734375" style="3" bestFit="1" customWidth="1"/>
    <col min="778" max="778" width="12" style="3" bestFit="1" customWidth="1"/>
    <col min="779" max="779" width="11.44140625" style="3"/>
    <col min="780" max="780" width="12" style="3" bestFit="1" customWidth="1"/>
    <col min="781" max="781" width="10.44140625" style="3" customWidth="1"/>
    <col min="782" max="782" width="11.77734375" style="3" bestFit="1" customWidth="1"/>
    <col min="783" max="783" width="11.21875" style="3" bestFit="1" customWidth="1"/>
    <col min="784" max="786" width="11.44140625" style="3"/>
    <col min="787" max="787" width="2.21875" style="3" customWidth="1"/>
    <col min="788" max="1023" width="11.44140625" style="3"/>
    <col min="1024" max="1024" width="3.21875" style="3" customWidth="1"/>
    <col min="1025" max="1025" width="33.77734375" style="3" customWidth="1"/>
    <col min="1026" max="1026" width="11.44140625" style="3"/>
    <col min="1027" max="1027" width="10.77734375" style="3" bestFit="1" customWidth="1"/>
    <col min="1028" max="1028" width="10.77734375" style="3" customWidth="1"/>
    <col min="1029" max="1029" width="11.21875" style="3" bestFit="1" customWidth="1"/>
    <col min="1030" max="1030" width="11.44140625" style="3"/>
    <col min="1031" max="1031" width="12.44140625" style="3" customWidth="1"/>
    <col min="1032" max="1032" width="11.44140625" style="3"/>
    <col min="1033" max="1033" width="9.77734375" style="3" bestFit="1" customWidth="1"/>
    <col min="1034" max="1034" width="12" style="3" bestFit="1" customWidth="1"/>
    <col min="1035" max="1035" width="11.44140625" style="3"/>
    <col min="1036" max="1036" width="12" style="3" bestFit="1" customWidth="1"/>
    <col min="1037" max="1037" width="10.44140625" style="3" customWidth="1"/>
    <col min="1038" max="1038" width="11.77734375" style="3" bestFit="1" customWidth="1"/>
    <col min="1039" max="1039" width="11.21875" style="3" bestFit="1" customWidth="1"/>
    <col min="1040" max="1042" width="11.44140625" style="3"/>
    <col min="1043" max="1043" width="2.21875" style="3" customWidth="1"/>
    <col min="1044" max="1279" width="11.44140625" style="3"/>
    <col min="1280" max="1280" width="3.21875" style="3" customWidth="1"/>
    <col min="1281" max="1281" width="33.77734375" style="3" customWidth="1"/>
    <col min="1282" max="1282" width="11.44140625" style="3"/>
    <col min="1283" max="1283" width="10.77734375" style="3" bestFit="1" customWidth="1"/>
    <col min="1284" max="1284" width="10.77734375" style="3" customWidth="1"/>
    <col min="1285" max="1285" width="11.21875" style="3" bestFit="1" customWidth="1"/>
    <col min="1286" max="1286" width="11.44140625" style="3"/>
    <col min="1287" max="1287" width="12.44140625" style="3" customWidth="1"/>
    <col min="1288" max="1288" width="11.44140625" style="3"/>
    <col min="1289" max="1289" width="9.77734375" style="3" bestFit="1" customWidth="1"/>
    <col min="1290" max="1290" width="12" style="3" bestFit="1" customWidth="1"/>
    <col min="1291" max="1291" width="11.44140625" style="3"/>
    <col min="1292" max="1292" width="12" style="3" bestFit="1" customWidth="1"/>
    <col min="1293" max="1293" width="10.44140625" style="3" customWidth="1"/>
    <col min="1294" max="1294" width="11.77734375" style="3" bestFit="1" customWidth="1"/>
    <col min="1295" max="1295" width="11.21875" style="3" bestFit="1" customWidth="1"/>
    <col min="1296" max="1298" width="11.44140625" style="3"/>
    <col min="1299" max="1299" width="2.21875" style="3" customWidth="1"/>
    <col min="1300" max="1535" width="11.44140625" style="3"/>
    <col min="1536" max="1536" width="3.21875" style="3" customWidth="1"/>
    <col min="1537" max="1537" width="33.77734375" style="3" customWidth="1"/>
    <col min="1538" max="1538" width="11.44140625" style="3"/>
    <col min="1539" max="1539" width="10.77734375" style="3" bestFit="1" customWidth="1"/>
    <col min="1540" max="1540" width="10.77734375" style="3" customWidth="1"/>
    <col min="1541" max="1541" width="11.21875" style="3" bestFit="1" customWidth="1"/>
    <col min="1542" max="1542" width="11.44140625" style="3"/>
    <col min="1543" max="1543" width="12.44140625" style="3" customWidth="1"/>
    <col min="1544" max="1544" width="11.44140625" style="3"/>
    <col min="1545" max="1545" width="9.77734375" style="3" bestFit="1" customWidth="1"/>
    <col min="1546" max="1546" width="12" style="3" bestFit="1" customWidth="1"/>
    <col min="1547" max="1547" width="11.44140625" style="3"/>
    <col min="1548" max="1548" width="12" style="3" bestFit="1" customWidth="1"/>
    <col min="1549" max="1549" width="10.44140625" style="3" customWidth="1"/>
    <col min="1550" max="1550" width="11.77734375" style="3" bestFit="1" customWidth="1"/>
    <col min="1551" max="1551" width="11.21875" style="3" bestFit="1" customWidth="1"/>
    <col min="1552" max="1554" width="11.44140625" style="3"/>
    <col min="1555" max="1555" width="2.21875" style="3" customWidth="1"/>
    <col min="1556" max="1791" width="11.44140625" style="3"/>
    <col min="1792" max="1792" width="3.21875" style="3" customWidth="1"/>
    <col min="1793" max="1793" width="33.77734375" style="3" customWidth="1"/>
    <col min="1794" max="1794" width="11.44140625" style="3"/>
    <col min="1795" max="1795" width="10.77734375" style="3" bestFit="1" customWidth="1"/>
    <col min="1796" max="1796" width="10.77734375" style="3" customWidth="1"/>
    <col min="1797" max="1797" width="11.21875" style="3" bestFit="1" customWidth="1"/>
    <col min="1798" max="1798" width="11.44140625" style="3"/>
    <col min="1799" max="1799" width="12.44140625" style="3" customWidth="1"/>
    <col min="1800" max="1800" width="11.44140625" style="3"/>
    <col min="1801" max="1801" width="9.77734375" style="3" bestFit="1" customWidth="1"/>
    <col min="1802" max="1802" width="12" style="3" bestFit="1" customWidth="1"/>
    <col min="1803" max="1803" width="11.44140625" style="3"/>
    <col min="1804" max="1804" width="12" style="3" bestFit="1" customWidth="1"/>
    <col min="1805" max="1805" width="10.44140625" style="3" customWidth="1"/>
    <col min="1806" max="1806" width="11.77734375" style="3" bestFit="1" customWidth="1"/>
    <col min="1807" max="1807" width="11.21875" style="3" bestFit="1" customWidth="1"/>
    <col min="1808" max="1810" width="11.44140625" style="3"/>
    <col min="1811" max="1811" width="2.21875" style="3" customWidth="1"/>
    <col min="1812" max="2047" width="11.44140625" style="3"/>
    <col min="2048" max="2048" width="3.21875" style="3" customWidth="1"/>
    <col min="2049" max="2049" width="33.77734375" style="3" customWidth="1"/>
    <col min="2050" max="2050" width="11.44140625" style="3"/>
    <col min="2051" max="2051" width="10.77734375" style="3" bestFit="1" customWidth="1"/>
    <col min="2052" max="2052" width="10.77734375" style="3" customWidth="1"/>
    <col min="2053" max="2053" width="11.21875" style="3" bestFit="1" customWidth="1"/>
    <col min="2054" max="2054" width="11.44140625" style="3"/>
    <col min="2055" max="2055" width="12.44140625" style="3" customWidth="1"/>
    <col min="2056" max="2056" width="11.44140625" style="3"/>
    <col min="2057" max="2057" width="9.77734375" style="3" bestFit="1" customWidth="1"/>
    <col min="2058" max="2058" width="12" style="3" bestFit="1" customWidth="1"/>
    <col min="2059" max="2059" width="11.44140625" style="3"/>
    <col min="2060" max="2060" width="12" style="3" bestFit="1" customWidth="1"/>
    <col min="2061" max="2061" width="10.44140625" style="3" customWidth="1"/>
    <col min="2062" max="2062" width="11.77734375" style="3" bestFit="1" customWidth="1"/>
    <col min="2063" max="2063" width="11.21875" style="3" bestFit="1" customWidth="1"/>
    <col min="2064" max="2066" width="11.44140625" style="3"/>
    <col min="2067" max="2067" width="2.21875" style="3" customWidth="1"/>
    <col min="2068" max="2303" width="11.44140625" style="3"/>
    <col min="2304" max="2304" width="3.21875" style="3" customWidth="1"/>
    <col min="2305" max="2305" width="33.77734375" style="3" customWidth="1"/>
    <col min="2306" max="2306" width="11.44140625" style="3"/>
    <col min="2307" max="2307" width="10.77734375" style="3" bestFit="1" customWidth="1"/>
    <col min="2308" max="2308" width="10.77734375" style="3" customWidth="1"/>
    <col min="2309" max="2309" width="11.21875" style="3" bestFit="1" customWidth="1"/>
    <col min="2310" max="2310" width="11.44140625" style="3"/>
    <col min="2311" max="2311" width="12.44140625" style="3" customWidth="1"/>
    <col min="2312" max="2312" width="11.44140625" style="3"/>
    <col min="2313" max="2313" width="9.77734375" style="3" bestFit="1" customWidth="1"/>
    <col min="2314" max="2314" width="12" style="3" bestFit="1" customWidth="1"/>
    <col min="2315" max="2315" width="11.44140625" style="3"/>
    <col min="2316" max="2316" width="12" style="3" bestFit="1" customWidth="1"/>
    <col min="2317" max="2317" width="10.44140625" style="3" customWidth="1"/>
    <col min="2318" max="2318" width="11.77734375" style="3" bestFit="1" customWidth="1"/>
    <col min="2319" max="2319" width="11.21875" style="3" bestFit="1" customWidth="1"/>
    <col min="2320" max="2322" width="11.44140625" style="3"/>
    <col min="2323" max="2323" width="2.21875" style="3" customWidth="1"/>
    <col min="2324" max="2559" width="11.44140625" style="3"/>
    <col min="2560" max="2560" width="3.21875" style="3" customWidth="1"/>
    <col min="2561" max="2561" width="33.77734375" style="3" customWidth="1"/>
    <col min="2562" max="2562" width="11.44140625" style="3"/>
    <col min="2563" max="2563" width="10.77734375" style="3" bestFit="1" customWidth="1"/>
    <col min="2564" max="2564" width="10.77734375" style="3" customWidth="1"/>
    <col min="2565" max="2565" width="11.21875" style="3" bestFit="1" customWidth="1"/>
    <col min="2566" max="2566" width="11.44140625" style="3"/>
    <col min="2567" max="2567" width="12.44140625" style="3" customWidth="1"/>
    <col min="2568" max="2568" width="11.44140625" style="3"/>
    <col min="2569" max="2569" width="9.77734375" style="3" bestFit="1" customWidth="1"/>
    <col min="2570" max="2570" width="12" style="3" bestFit="1" customWidth="1"/>
    <col min="2571" max="2571" width="11.44140625" style="3"/>
    <col min="2572" max="2572" width="12" style="3" bestFit="1" customWidth="1"/>
    <col min="2573" max="2573" width="10.44140625" style="3" customWidth="1"/>
    <col min="2574" max="2574" width="11.77734375" style="3" bestFit="1" customWidth="1"/>
    <col min="2575" max="2575" width="11.21875" style="3" bestFit="1" customWidth="1"/>
    <col min="2576" max="2578" width="11.44140625" style="3"/>
    <col min="2579" max="2579" width="2.21875" style="3" customWidth="1"/>
    <col min="2580" max="2815" width="11.44140625" style="3"/>
    <col min="2816" max="2816" width="3.21875" style="3" customWidth="1"/>
    <col min="2817" max="2817" width="33.77734375" style="3" customWidth="1"/>
    <col min="2818" max="2818" width="11.44140625" style="3"/>
    <col min="2819" max="2819" width="10.77734375" style="3" bestFit="1" customWidth="1"/>
    <col min="2820" max="2820" width="10.77734375" style="3" customWidth="1"/>
    <col min="2821" max="2821" width="11.21875" style="3" bestFit="1" customWidth="1"/>
    <col min="2822" max="2822" width="11.44140625" style="3"/>
    <col min="2823" max="2823" width="12.44140625" style="3" customWidth="1"/>
    <col min="2824" max="2824" width="11.44140625" style="3"/>
    <col min="2825" max="2825" width="9.77734375" style="3" bestFit="1" customWidth="1"/>
    <col min="2826" max="2826" width="12" style="3" bestFit="1" customWidth="1"/>
    <col min="2827" max="2827" width="11.44140625" style="3"/>
    <col min="2828" max="2828" width="12" style="3" bestFit="1" customWidth="1"/>
    <col min="2829" max="2829" width="10.44140625" style="3" customWidth="1"/>
    <col min="2830" max="2830" width="11.77734375" style="3" bestFit="1" customWidth="1"/>
    <col min="2831" max="2831" width="11.21875" style="3" bestFit="1" customWidth="1"/>
    <col min="2832" max="2834" width="11.44140625" style="3"/>
    <col min="2835" max="2835" width="2.21875" style="3" customWidth="1"/>
    <col min="2836" max="3071" width="11.44140625" style="3"/>
    <col min="3072" max="3072" width="3.21875" style="3" customWidth="1"/>
    <col min="3073" max="3073" width="33.77734375" style="3" customWidth="1"/>
    <col min="3074" max="3074" width="11.44140625" style="3"/>
    <col min="3075" max="3075" width="10.77734375" style="3" bestFit="1" customWidth="1"/>
    <col min="3076" max="3076" width="10.77734375" style="3" customWidth="1"/>
    <col min="3077" max="3077" width="11.21875" style="3" bestFit="1" customWidth="1"/>
    <col min="3078" max="3078" width="11.44140625" style="3"/>
    <col min="3079" max="3079" width="12.44140625" style="3" customWidth="1"/>
    <col min="3080" max="3080" width="11.44140625" style="3"/>
    <col min="3081" max="3081" width="9.77734375" style="3" bestFit="1" customWidth="1"/>
    <col min="3082" max="3082" width="12" style="3" bestFit="1" customWidth="1"/>
    <col min="3083" max="3083" width="11.44140625" style="3"/>
    <col min="3084" max="3084" width="12" style="3" bestFit="1" customWidth="1"/>
    <col min="3085" max="3085" width="10.44140625" style="3" customWidth="1"/>
    <col min="3086" max="3086" width="11.77734375" style="3" bestFit="1" customWidth="1"/>
    <col min="3087" max="3087" width="11.21875" style="3" bestFit="1" customWidth="1"/>
    <col min="3088" max="3090" width="11.44140625" style="3"/>
    <col min="3091" max="3091" width="2.21875" style="3" customWidth="1"/>
    <col min="3092" max="3327" width="11.44140625" style="3"/>
    <col min="3328" max="3328" width="3.21875" style="3" customWidth="1"/>
    <col min="3329" max="3329" width="33.77734375" style="3" customWidth="1"/>
    <col min="3330" max="3330" width="11.44140625" style="3"/>
    <col min="3331" max="3331" width="10.77734375" style="3" bestFit="1" customWidth="1"/>
    <col min="3332" max="3332" width="10.77734375" style="3" customWidth="1"/>
    <col min="3333" max="3333" width="11.21875" style="3" bestFit="1" customWidth="1"/>
    <col min="3334" max="3334" width="11.44140625" style="3"/>
    <col min="3335" max="3335" width="12.44140625" style="3" customWidth="1"/>
    <col min="3336" max="3336" width="11.44140625" style="3"/>
    <col min="3337" max="3337" width="9.77734375" style="3" bestFit="1" customWidth="1"/>
    <col min="3338" max="3338" width="12" style="3" bestFit="1" customWidth="1"/>
    <col min="3339" max="3339" width="11.44140625" style="3"/>
    <col min="3340" max="3340" width="12" style="3" bestFit="1" customWidth="1"/>
    <col min="3341" max="3341" width="10.44140625" style="3" customWidth="1"/>
    <col min="3342" max="3342" width="11.77734375" style="3" bestFit="1" customWidth="1"/>
    <col min="3343" max="3343" width="11.21875" style="3" bestFit="1" customWidth="1"/>
    <col min="3344" max="3346" width="11.44140625" style="3"/>
    <col min="3347" max="3347" width="2.21875" style="3" customWidth="1"/>
    <col min="3348" max="3583" width="11.44140625" style="3"/>
    <col min="3584" max="3584" width="3.21875" style="3" customWidth="1"/>
    <col min="3585" max="3585" width="33.77734375" style="3" customWidth="1"/>
    <col min="3586" max="3586" width="11.44140625" style="3"/>
    <col min="3587" max="3587" width="10.77734375" style="3" bestFit="1" customWidth="1"/>
    <col min="3588" max="3588" width="10.77734375" style="3" customWidth="1"/>
    <col min="3589" max="3589" width="11.21875" style="3" bestFit="1" customWidth="1"/>
    <col min="3590" max="3590" width="11.44140625" style="3"/>
    <col min="3591" max="3591" width="12.44140625" style="3" customWidth="1"/>
    <col min="3592" max="3592" width="11.44140625" style="3"/>
    <col min="3593" max="3593" width="9.77734375" style="3" bestFit="1" customWidth="1"/>
    <col min="3594" max="3594" width="12" style="3" bestFit="1" customWidth="1"/>
    <col min="3595" max="3595" width="11.44140625" style="3"/>
    <col min="3596" max="3596" width="12" style="3" bestFit="1" customWidth="1"/>
    <col min="3597" max="3597" width="10.44140625" style="3" customWidth="1"/>
    <col min="3598" max="3598" width="11.77734375" style="3" bestFit="1" customWidth="1"/>
    <col min="3599" max="3599" width="11.21875" style="3" bestFit="1" customWidth="1"/>
    <col min="3600" max="3602" width="11.44140625" style="3"/>
    <col min="3603" max="3603" width="2.21875" style="3" customWidth="1"/>
    <col min="3604" max="3839" width="11.44140625" style="3"/>
    <col min="3840" max="3840" width="3.21875" style="3" customWidth="1"/>
    <col min="3841" max="3841" width="33.77734375" style="3" customWidth="1"/>
    <col min="3842" max="3842" width="11.44140625" style="3"/>
    <col min="3843" max="3843" width="10.77734375" style="3" bestFit="1" customWidth="1"/>
    <col min="3844" max="3844" width="10.77734375" style="3" customWidth="1"/>
    <col min="3845" max="3845" width="11.21875" style="3" bestFit="1" customWidth="1"/>
    <col min="3846" max="3846" width="11.44140625" style="3"/>
    <col min="3847" max="3847" width="12.44140625" style="3" customWidth="1"/>
    <col min="3848" max="3848" width="11.44140625" style="3"/>
    <col min="3849" max="3849" width="9.77734375" style="3" bestFit="1" customWidth="1"/>
    <col min="3850" max="3850" width="12" style="3" bestFit="1" customWidth="1"/>
    <col min="3851" max="3851" width="11.44140625" style="3"/>
    <col min="3852" max="3852" width="12" style="3" bestFit="1" customWidth="1"/>
    <col min="3853" max="3853" width="10.44140625" style="3" customWidth="1"/>
    <col min="3854" max="3854" width="11.77734375" style="3" bestFit="1" customWidth="1"/>
    <col min="3855" max="3855" width="11.21875" style="3" bestFit="1" customWidth="1"/>
    <col min="3856" max="3858" width="11.44140625" style="3"/>
    <col min="3859" max="3859" width="2.21875" style="3" customWidth="1"/>
    <col min="3860" max="4095" width="11.44140625" style="3"/>
    <col min="4096" max="4096" width="3.21875" style="3" customWidth="1"/>
    <col min="4097" max="4097" width="33.77734375" style="3" customWidth="1"/>
    <col min="4098" max="4098" width="11.44140625" style="3"/>
    <col min="4099" max="4099" width="10.77734375" style="3" bestFit="1" customWidth="1"/>
    <col min="4100" max="4100" width="10.77734375" style="3" customWidth="1"/>
    <col min="4101" max="4101" width="11.21875" style="3" bestFit="1" customWidth="1"/>
    <col min="4102" max="4102" width="11.44140625" style="3"/>
    <col min="4103" max="4103" width="12.44140625" style="3" customWidth="1"/>
    <col min="4104" max="4104" width="11.44140625" style="3"/>
    <col min="4105" max="4105" width="9.77734375" style="3" bestFit="1" customWidth="1"/>
    <col min="4106" max="4106" width="12" style="3" bestFit="1" customWidth="1"/>
    <col min="4107" max="4107" width="11.44140625" style="3"/>
    <col min="4108" max="4108" width="12" style="3" bestFit="1" customWidth="1"/>
    <col min="4109" max="4109" width="10.44140625" style="3" customWidth="1"/>
    <col min="4110" max="4110" width="11.77734375" style="3" bestFit="1" customWidth="1"/>
    <col min="4111" max="4111" width="11.21875" style="3" bestFit="1" customWidth="1"/>
    <col min="4112" max="4114" width="11.44140625" style="3"/>
    <col min="4115" max="4115" width="2.21875" style="3" customWidth="1"/>
    <col min="4116" max="4351" width="11.44140625" style="3"/>
    <col min="4352" max="4352" width="3.21875" style="3" customWidth="1"/>
    <col min="4353" max="4353" width="33.77734375" style="3" customWidth="1"/>
    <col min="4354" max="4354" width="11.44140625" style="3"/>
    <col min="4355" max="4355" width="10.77734375" style="3" bestFit="1" customWidth="1"/>
    <col min="4356" max="4356" width="10.77734375" style="3" customWidth="1"/>
    <col min="4357" max="4357" width="11.21875" style="3" bestFit="1" customWidth="1"/>
    <col min="4358" max="4358" width="11.44140625" style="3"/>
    <col min="4359" max="4359" width="12.44140625" style="3" customWidth="1"/>
    <col min="4360" max="4360" width="11.44140625" style="3"/>
    <col min="4361" max="4361" width="9.77734375" style="3" bestFit="1" customWidth="1"/>
    <col min="4362" max="4362" width="12" style="3" bestFit="1" customWidth="1"/>
    <col min="4363" max="4363" width="11.44140625" style="3"/>
    <col min="4364" max="4364" width="12" style="3" bestFit="1" customWidth="1"/>
    <col min="4365" max="4365" width="10.44140625" style="3" customWidth="1"/>
    <col min="4366" max="4366" width="11.77734375" style="3" bestFit="1" customWidth="1"/>
    <col min="4367" max="4367" width="11.21875" style="3" bestFit="1" customWidth="1"/>
    <col min="4368" max="4370" width="11.44140625" style="3"/>
    <col min="4371" max="4371" width="2.21875" style="3" customWidth="1"/>
    <col min="4372" max="4607" width="11.44140625" style="3"/>
    <col min="4608" max="4608" width="3.21875" style="3" customWidth="1"/>
    <col min="4609" max="4609" width="33.77734375" style="3" customWidth="1"/>
    <col min="4610" max="4610" width="11.44140625" style="3"/>
    <col min="4611" max="4611" width="10.77734375" style="3" bestFit="1" customWidth="1"/>
    <col min="4612" max="4612" width="10.77734375" style="3" customWidth="1"/>
    <col min="4613" max="4613" width="11.21875" style="3" bestFit="1" customWidth="1"/>
    <col min="4614" max="4614" width="11.44140625" style="3"/>
    <col min="4615" max="4615" width="12.44140625" style="3" customWidth="1"/>
    <col min="4616" max="4616" width="11.44140625" style="3"/>
    <col min="4617" max="4617" width="9.77734375" style="3" bestFit="1" customWidth="1"/>
    <col min="4618" max="4618" width="12" style="3" bestFit="1" customWidth="1"/>
    <col min="4619" max="4619" width="11.44140625" style="3"/>
    <col min="4620" max="4620" width="12" style="3" bestFit="1" customWidth="1"/>
    <col min="4621" max="4621" width="10.44140625" style="3" customWidth="1"/>
    <col min="4622" max="4622" width="11.77734375" style="3" bestFit="1" customWidth="1"/>
    <col min="4623" max="4623" width="11.21875" style="3" bestFit="1" customWidth="1"/>
    <col min="4624" max="4626" width="11.44140625" style="3"/>
    <col min="4627" max="4627" width="2.21875" style="3" customWidth="1"/>
    <col min="4628" max="4863" width="11.44140625" style="3"/>
    <col min="4864" max="4864" width="3.21875" style="3" customWidth="1"/>
    <col min="4865" max="4865" width="33.77734375" style="3" customWidth="1"/>
    <col min="4866" max="4866" width="11.44140625" style="3"/>
    <col min="4867" max="4867" width="10.77734375" style="3" bestFit="1" customWidth="1"/>
    <col min="4868" max="4868" width="10.77734375" style="3" customWidth="1"/>
    <col min="4869" max="4869" width="11.21875" style="3" bestFit="1" customWidth="1"/>
    <col min="4870" max="4870" width="11.44140625" style="3"/>
    <col min="4871" max="4871" width="12.44140625" style="3" customWidth="1"/>
    <col min="4872" max="4872" width="11.44140625" style="3"/>
    <col min="4873" max="4873" width="9.77734375" style="3" bestFit="1" customWidth="1"/>
    <col min="4874" max="4874" width="12" style="3" bestFit="1" customWidth="1"/>
    <col min="4875" max="4875" width="11.44140625" style="3"/>
    <col min="4876" max="4876" width="12" style="3" bestFit="1" customWidth="1"/>
    <col min="4877" max="4877" width="10.44140625" style="3" customWidth="1"/>
    <col min="4878" max="4878" width="11.77734375" style="3" bestFit="1" customWidth="1"/>
    <col min="4879" max="4879" width="11.21875" style="3" bestFit="1" customWidth="1"/>
    <col min="4880" max="4882" width="11.44140625" style="3"/>
    <col min="4883" max="4883" width="2.21875" style="3" customWidth="1"/>
    <col min="4884" max="5119" width="11.44140625" style="3"/>
    <col min="5120" max="5120" width="3.21875" style="3" customWidth="1"/>
    <col min="5121" max="5121" width="33.77734375" style="3" customWidth="1"/>
    <col min="5122" max="5122" width="11.44140625" style="3"/>
    <col min="5123" max="5123" width="10.77734375" style="3" bestFit="1" customWidth="1"/>
    <col min="5124" max="5124" width="10.77734375" style="3" customWidth="1"/>
    <col min="5125" max="5125" width="11.21875" style="3" bestFit="1" customWidth="1"/>
    <col min="5126" max="5126" width="11.44140625" style="3"/>
    <col min="5127" max="5127" width="12.44140625" style="3" customWidth="1"/>
    <col min="5128" max="5128" width="11.44140625" style="3"/>
    <col min="5129" max="5129" width="9.77734375" style="3" bestFit="1" customWidth="1"/>
    <col min="5130" max="5130" width="12" style="3" bestFit="1" customWidth="1"/>
    <col min="5131" max="5131" width="11.44140625" style="3"/>
    <col min="5132" max="5132" width="12" style="3" bestFit="1" customWidth="1"/>
    <col min="5133" max="5133" width="10.44140625" style="3" customWidth="1"/>
    <col min="5134" max="5134" width="11.77734375" style="3" bestFit="1" customWidth="1"/>
    <col min="5135" max="5135" width="11.21875" style="3" bestFit="1" customWidth="1"/>
    <col min="5136" max="5138" width="11.44140625" style="3"/>
    <col min="5139" max="5139" width="2.21875" style="3" customWidth="1"/>
    <col min="5140" max="5375" width="11.44140625" style="3"/>
    <col min="5376" max="5376" width="3.21875" style="3" customWidth="1"/>
    <col min="5377" max="5377" width="33.77734375" style="3" customWidth="1"/>
    <col min="5378" max="5378" width="11.44140625" style="3"/>
    <col min="5379" max="5379" width="10.77734375" style="3" bestFit="1" customWidth="1"/>
    <col min="5380" max="5380" width="10.77734375" style="3" customWidth="1"/>
    <col min="5381" max="5381" width="11.21875" style="3" bestFit="1" customWidth="1"/>
    <col min="5382" max="5382" width="11.44140625" style="3"/>
    <col min="5383" max="5383" width="12.44140625" style="3" customWidth="1"/>
    <col min="5384" max="5384" width="11.44140625" style="3"/>
    <col min="5385" max="5385" width="9.77734375" style="3" bestFit="1" customWidth="1"/>
    <col min="5386" max="5386" width="12" style="3" bestFit="1" customWidth="1"/>
    <col min="5387" max="5387" width="11.44140625" style="3"/>
    <col min="5388" max="5388" width="12" style="3" bestFit="1" customWidth="1"/>
    <col min="5389" max="5389" width="10.44140625" style="3" customWidth="1"/>
    <col min="5390" max="5390" width="11.77734375" style="3" bestFit="1" customWidth="1"/>
    <col min="5391" max="5391" width="11.21875" style="3" bestFit="1" customWidth="1"/>
    <col min="5392" max="5394" width="11.44140625" style="3"/>
    <col min="5395" max="5395" width="2.21875" style="3" customWidth="1"/>
    <col min="5396" max="5631" width="11.44140625" style="3"/>
    <col min="5632" max="5632" width="3.21875" style="3" customWidth="1"/>
    <col min="5633" max="5633" width="33.77734375" style="3" customWidth="1"/>
    <col min="5634" max="5634" width="11.44140625" style="3"/>
    <col min="5635" max="5635" width="10.77734375" style="3" bestFit="1" customWidth="1"/>
    <col min="5636" max="5636" width="10.77734375" style="3" customWidth="1"/>
    <col min="5637" max="5637" width="11.21875" style="3" bestFit="1" customWidth="1"/>
    <col min="5638" max="5638" width="11.44140625" style="3"/>
    <col min="5639" max="5639" width="12.44140625" style="3" customWidth="1"/>
    <col min="5640" max="5640" width="11.44140625" style="3"/>
    <col min="5641" max="5641" width="9.77734375" style="3" bestFit="1" customWidth="1"/>
    <col min="5642" max="5642" width="12" style="3" bestFit="1" customWidth="1"/>
    <col min="5643" max="5643" width="11.44140625" style="3"/>
    <col min="5644" max="5644" width="12" style="3" bestFit="1" customWidth="1"/>
    <col min="5645" max="5645" width="10.44140625" style="3" customWidth="1"/>
    <col min="5646" max="5646" width="11.77734375" style="3" bestFit="1" customWidth="1"/>
    <col min="5647" max="5647" width="11.21875" style="3" bestFit="1" customWidth="1"/>
    <col min="5648" max="5650" width="11.44140625" style="3"/>
    <col min="5651" max="5651" width="2.21875" style="3" customWidth="1"/>
    <col min="5652" max="5887" width="11.44140625" style="3"/>
    <col min="5888" max="5888" width="3.21875" style="3" customWidth="1"/>
    <col min="5889" max="5889" width="33.77734375" style="3" customWidth="1"/>
    <col min="5890" max="5890" width="11.44140625" style="3"/>
    <col min="5891" max="5891" width="10.77734375" style="3" bestFit="1" customWidth="1"/>
    <col min="5892" max="5892" width="10.77734375" style="3" customWidth="1"/>
    <col min="5893" max="5893" width="11.21875" style="3" bestFit="1" customWidth="1"/>
    <col min="5894" max="5894" width="11.44140625" style="3"/>
    <col min="5895" max="5895" width="12.44140625" style="3" customWidth="1"/>
    <col min="5896" max="5896" width="11.44140625" style="3"/>
    <col min="5897" max="5897" width="9.77734375" style="3" bestFit="1" customWidth="1"/>
    <col min="5898" max="5898" width="12" style="3" bestFit="1" customWidth="1"/>
    <col min="5899" max="5899" width="11.44140625" style="3"/>
    <col min="5900" max="5900" width="12" style="3" bestFit="1" customWidth="1"/>
    <col min="5901" max="5901" width="10.44140625" style="3" customWidth="1"/>
    <col min="5902" max="5902" width="11.77734375" style="3" bestFit="1" customWidth="1"/>
    <col min="5903" max="5903" width="11.21875" style="3" bestFit="1" customWidth="1"/>
    <col min="5904" max="5906" width="11.44140625" style="3"/>
    <col min="5907" max="5907" width="2.21875" style="3" customWidth="1"/>
    <col min="5908" max="6143" width="11.44140625" style="3"/>
    <col min="6144" max="6144" width="3.21875" style="3" customWidth="1"/>
    <col min="6145" max="6145" width="33.77734375" style="3" customWidth="1"/>
    <col min="6146" max="6146" width="11.44140625" style="3"/>
    <col min="6147" max="6147" width="10.77734375" style="3" bestFit="1" customWidth="1"/>
    <col min="6148" max="6148" width="10.77734375" style="3" customWidth="1"/>
    <col min="6149" max="6149" width="11.21875" style="3" bestFit="1" customWidth="1"/>
    <col min="6150" max="6150" width="11.44140625" style="3"/>
    <col min="6151" max="6151" width="12.44140625" style="3" customWidth="1"/>
    <col min="6152" max="6152" width="11.44140625" style="3"/>
    <col min="6153" max="6153" width="9.77734375" style="3" bestFit="1" customWidth="1"/>
    <col min="6154" max="6154" width="12" style="3" bestFit="1" customWidth="1"/>
    <col min="6155" max="6155" width="11.44140625" style="3"/>
    <col min="6156" max="6156" width="12" style="3" bestFit="1" customWidth="1"/>
    <col min="6157" max="6157" width="10.44140625" style="3" customWidth="1"/>
    <col min="6158" max="6158" width="11.77734375" style="3" bestFit="1" customWidth="1"/>
    <col min="6159" max="6159" width="11.21875" style="3" bestFit="1" customWidth="1"/>
    <col min="6160" max="6162" width="11.44140625" style="3"/>
    <col min="6163" max="6163" width="2.21875" style="3" customWidth="1"/>
    <col min="6164" max="6399" width="11.44140625" style="3"/>
    <col min="6400" max="6400" width="3.21875" style="3" customWidth="1"/>
    <col min="6401" max="6401" width="33.77734375" style="3" customWidth="1"/>
    <col min="6402" max="6402" width="11.44140625" style="3"/>
    <col min="6403" max="6403" width="10.77734375" style="3" bestFit="1" customWidth="1"/>
    <col min="6404" max="6404" width="10.77734375" style="3" customWidth="1"/>
    <col min="6405" max="6405" width="11.21875" style="3" bestFit="1" customWidth="1"/>
    <col min="6406" max="6406" width="11.44140625" style="3"/>
    <col min="6407" max="6407" width="12.44140625" style="3" customWidth="1"/>
    <col min="6408" max="6408" width="11.44140625" style="3"/>
    <col min="6409" max="6409" width="9.77734375" style="3" bestFit="1" customWidth="1"/>
    <col min="6410" max="6410" width="12" style="3" bestFit="1" customWidth="1"/>
    <col min="6411" max="6411" width="11.44140625" style="3"/>
    <col min="6412" max="6412" width="12" style="3" bestFit="1" customWidth="1"/>
    <col min="6413" max="6413" width="10.44140625" style="3" customWidth="1"/>
    <col min="6414" max="6414" width="11.77734375" style="3" bestFit="1" customWidth="1"/>
    <col min="6415" max="6415" width="11.21875" style="3" bestFit="1" customWidth="1"/>
    <col min="6416" max="6418" width="11.44140625" style="3"/>
    <col min="6419" max="6419" width="2.21875" style="3" customWidth="1"/>
    <col min="6420" max="6655" width="11.44140625" style="3"/>
    <col min="6656" max="6656" width="3.21875" style="3" customWidth="1"/>
    <col min="6657" max="6657" width="33.77734375" style="3" customWidth="1"/>
    <col min="6658" max="6658" width="11.44140625" style="3"/>
    <col min="6659" max="6659" width="10.77734375" style="3" bestFit="1" customWidth="1"/>
    <col min="6660" max="6660" width="10.77734375" style="3" customWidth="1"/>
    <col min="6661" max="6661" width="11.21875" style="3" bestFit="1" customWidth="1"/>
    <col min="6662" max="6662" width="11.44140625" style="3"/>
    <col min="6663" max="6663" width="12.44140625" style="3" customWidth="1"/>
    <col min="6664" max="6664" width="11.44140625" style="3"/>
    <col min="6665" max="6665" width="9.77734375" style="3" bestFit="1" customWidth="1"/>
    <col min="6666" max="6666" width="12" style="3" bestFit="1" customWidth="1"/>
    <col min="6667" max="6667" width="11.44140625" style="3"/>
    <col min="6668" max="6668" width="12" style="3" bestFit="1" customWidth="1"/>
    <col min="6669" max="6669" width="10.44140625" style="3" customWidth="1"/>
    <col min="6670" max="6670" width="11.77734375" style="3" bestFit="1" customWidth="1"/>
    <col min="6671" max="6671" width="11.21875" style="3" bestFit="1" customWidth="1"/>
    <col min="6672" max="6674" width="11.44140625" style="3"/>
    <col min="6675" max="6675" width="2.21875" style="3" customWidth="1"/>
    <col min="6676" max="6911" width="11.44140625" style="3"/>
    <col min="6912" max="6912" width="3.21875" style="3" customWidth="1"/>
    <col min="6913" max="6913" width="33.77734375" style="3" customWidth="1"/>
    <col min="6914" max="6914" width="11.44140625" style="3"/>
    <col min="6915" max="6915" width="10.77734375" style="3" bestFit="1" customWidth="1"/>
    <col min="6916" max="6916" width="10.77734375" style="3" customWidth="1"/>
    <col min="6917" max="6917" width="11.21875" style="3" bestFit="1" customWidth="1"/>
    <col min="6918" max="6918" width="11.44140625" style="3"/>
    <col min="6919" max="6919" width="12.44140625" style="3" customWidth="1"/>
    <col min="6920" max="6920" width="11.44140625" style="3"/>
    <col min="6921" max="6921" width="9.77734375" style="3" bestFit="1" customWidth="1"/>
    <col min="6922" max="6922" width="12" style="3" bestFit="1" customWidth="1"/>
    <col min="6923" max="6923" width="11.44140625" style="3"/>
    <col min="6924" max="6924" width="12" style="3" bestFit="1" customWidth="1"/>
    <col min="6925" max="6925" width="10.44140625" style="3" customWidth="1"/>
    <col min="6926" max="6926" width="11.77734375" style="3" bestFit="1" customWidth="1"/>
    <col min="6927" max="6927" width="11.21875" style="3" bestFit="1" customWidth="1"/>
    <col min="6928" max="6930" width="11.44140625" style="3"/>
    <col min="6931" max="6931" width="2.21875" style="3" customWidth="1"/>
    <col min="6932" max="7167" width="11.44140625" style="3"/>
    <col min="7168" max="7168" width="3.21875" style="3" customWidth="1"/>
    <col min="7169" max="7169" width="33.77734375" style="3" customWidth="1"/>
    <col min="7170" max="7170" width="11.44140625" style="3"/>
    <col min="7171" max="7171" width="10.77734375" style="3" bestFit="1" customWidth="1"/>
    <col min="7172" max="7172" width="10.77734375" style="3" customWidth="1"/>
    <col min="7173" max="7173" width="11.21875" style="3" bestFit="1" customWidth="1"/>
    <col min="7174" max="7174" width="11.44140625" style="3"/>
    <col min="7175" max="7175" width="12.44140625" style="3" customWidth="1"/>
    <col min="7176" max="7176" width="11.44140625" style="3"/>
    <col min="7177" max="7177" width="9.77734375" style="3" bestFit="1" customWidth="1"/>
    <col min="7178" max="7178" width="12" style="3" bestFit="1" customWidth="1"/>
    <col min="7179" max="7179" width="11.44140625" style="3"/>
    <col min="7180" max="7180" width="12" style="3" bestFit="1" customWidth="1"/>
    <col min="7181" max="7181" width="10.44140625" style="3" customWidth="1"/>
    <col min="7182" max="7182" width="11.77734375" style="3" bestFit="1" customWidth="1"/>
    <col min="7183" max="7183" width="11.21875" style="3" bestFit="1" customWidth="1"/>
    <col min="7184" max="7186" width="11.44140625" style="3"/>
    <col min="7187" max="7187" width="2.21875" style="3" customWidth="1"/>
    <col min="7188" max="7423" width="11.44140625" style="3"/>
    <col min="7424" max="7424" width="3.21875" style="3" customWidth="1"/>
    <col min="7425" max="7425" width="33.77734375" style="3" customWidth="1"/>
    <col min="7426" max="7426" width="11.44140625" style="3"/>
    <col min="7427" max="7427" width="10.77734375" style="3" bestFit="1" customWidth="1"/>
    <col min="7428" max="7428" width="10.77734375" style="3" customWidth="1"/>
    <col min="7429" max="7429" width="11.21875" style="3" bestFit="1" customWidth="1"/>
    <col min="7430" max="7430" width="11.44140625" style="3"/>
    <col min="7431" max="7431" width="12.44140625" style="3" customWidth="1"/>
    <col min="7432" max="7432" width="11.44140625" style="3"/>
    <col min="7433" max="7433" width="9.77734375" style="3" bestFit="1" customWidth="1"/>
    <col min="7434" max="7434" width="12" style="3" bestFit="1" customWidth="1"/>
    <col min="7435" max="7435" width="11.44140625" style="3"/>
    <col min="7436" max="7436" width="12" style="3" bestFit="1" customWidth="1"/>
    <col min="7437" max="7437" width="10.44140625" style="3" customWidth="1"/>
    <col min="7438" max="7438" width="11.77734375" style="3" bestFit="1" customWidth="1"/>
    <col min="7439" max="7439" width="11.21875" style="3" bestFit="1" customWidth="1"/>
    <col min="7440" max="7442" width="11.44140625" style="3"/>
    <col min="7443" max="7443" width="2.21875" style="3" customWidth="1"/>
    <col min="7444" max="7679" width="11.44140625" style="3"/>
    <col min="7680" max="7680" width="3.21875" style="3" customWidth="1"/>
    <col min="7681" max="7681" width="33.77734375" style="3" customWidth="1"/>
    <col min="7682" max="7682" width="11.44140625" style="3"/>
    <col min="7683" max="7683" width="10.77734375" style="3" bestFit="1" customWidth="1"/>
    <col min="7684" max="7684" width="10.77734375" style="3" customWidth="1"/>
    <col min="7685" max="7685" width="11.21875" style="3" bestFit="1" customWidth="1"/>
    <col min="7686" max="7686" width="11.44140625" style="3"/>
    <col min="7687" max="7687" width="12.44140625" style="3" customWidth="1"/>
    <col min="7688" max="7688" width="11.44140625" style="3"/>
    <col min="7689" max="7689" width="9.77734375" style="3" bestFit="1" customWidth="1"/>
    <col min="7690" max="7690" width="12" style="3" bestFit="1" customWidth="1"/>
    <col min="7691" max="7691" width="11.44140625" style="3"/>
    <col min="7692" max="7692" width="12" style="3" bestFit="1" customWidth="1"/>
    <col min="7693" max="7693" width="10.44140625" style="3" customWidth="1"/>
    <col min="7694" max="7694" width="11.77734375" style="3" bestFit="1" customWidth="1"/>
    <col min="7695" max="7695" width="11.21875" style="3" bestFit="1" customWidth="1"/>
    <col min="7696" max="7698" width="11.44140625" style="3"/>
    <col min="7699" max="7699" width="2.21875" style="3" customWidth="1"/>
    <col min="7700" max="7935" width="11.44140625" style="3"/>
    <col min="7936" max="7936" width="3.21875" style="3" customWidth="1"/>
    <col min="7937" max="7937" width="33.77734375" style="3" customWidth="1"/>
    <col min="7938" max="7938" width="11.44140625" style="3"/>
    <col min="7939" max="7939" width="10.77734375" style="3" bestFit="1" customWidth="1"/>
    <col min="7940" max="7940" width="10.77734375" style="3" customWidth="1"/>
    <col min="7941" max="7941" width="11.21875" style="3" bestFit="1" customWidth="1"/>
    <col min="7942" max="7942" width="11.44140625" style="3"/>
    <col min="7943" max="7943" width="12.44140625" style="3" customWidth="1"/>
    <col min="7944" max="7944" width="11.44140625" style="3"/>
    <col min="7945" max="7945" width="9.77734375" style="3" bestFit="1" customWidth="1"/>
    <col min="7946" max="7946" width="12" style="3" bestFit="1" customWidth="1"/>
    <col min="7947" max="7947" width="11.44140625" style="3"/>
    <col min="7948" max="7948" width="12" style="3" bestFit="1" customWidth="1"/>
    <col min="7949" max="7949" width="10.44140625" style="3" customWidth="1"/>
    <col min="7950" max="7950" width="11.77734375" style="3" bestFit="1" customWidth="1"/>
    <col min="7951" max="7951" width="11.21875" style="3" bestFit="1" customWidth="1"/>
    <col min="7952" max="7954" width="11.44140625" style="3"/>
    <col min="7955" max="7955" width="2.21875" style="3" customWidth="1"/>
    <col min="7956" max="8191" width="11.44140625" style="3"/>
    <col min="8192" max="8192" width="3.21875" style="3" customWidth="1"/>
    <col min="8193" max="8193" width="33.77734375" style="3" customWidth="1"/>
    <col min="8194" max="8194" width="11.44140625" style="3"/>
    <col min="8195" max="8195" width="10.77734375" style="3" bestFit="1" customWidth="1"/>
    <col min="8196" max="8196" width="10.77734375" style="3" customWidth="1"/>
    <col min="8197" max="8197" width="11.21875" style="3" bestFit="1" customWidth="1"/>
    <col min="8198" max="8198" width="11.44140625" style="3"/>
    <col min="8199" max="8199" width="12.44140625" style="3" customWidth="1"/>
    <col min="8200" max="8200" width="11.44140625" style="3"/>
    <col min="8201" max="8201" width="9.77734375" style="3" bestFit="1" customWidth="1"/>
    <col min="8202" max="8202" width="12" style="3" bestFit="1" customWidth="1"/>
    <col min="8203" max="8203" width="11.44140625" style="3"/>
    <col min="8204" max="8204" width="12" style="3" bestFit="1" customWidth="1"/>
    <col min="8205" max="8205" width="10.44140625" style="3" customWidth="1"/>
    <col min="8206" max="8206" width="11.77734375" style="3" bestFit="1" customWidth="1"/>
    <col min="8207" max="8207" width="11.21875" style="3" bestFit="1" customWidth="1"/>
    <col min="8208" max="8210" width="11.44140625" style="3"/>
    <col min="8211" max="8211" width="2.21875" style="3" customWidth="1"/>
    <col min="8212" max="8447" width="11.44140625" style="3"/>
    <col min="8448" max="8448" width="3.21875" style="3" customWidth="1"/>
    <col min="8449" max="8449" width="33.77734375" style="3" customWidth="1"/>
    <col min="8450" max="8450" width="11.44140625" style="3"/>
    <col min="8451" max="8451" width="10.77734375" style="3" bestFit="1" customWidth="1"/>
    <col min="8452" max="8452" width="10.77734375" style="3" customWidth="1"/>
    <col min="8453" max="8453" width="11.21875" style="3" bestFit="1" customWidth="1"/>
    <col min="8454" max="8454" width="11.44140625" style="3"/>
    <col min="8455" max="8455" width="12.44140625" style="3" customWidth="1"/>
    <col min="8456" max="8456" width="11.44140625" style="3"/>
    <col min="8457" max="8457" width="9.77734375" style="3" bestFit="1" customWidth="1"/>
    <col min="8458" max="8458" width="12" style="3" bestFit="1" customWidth="1"/>
    <col min="8459" max="8459" width="11.44140625" style="3"/>
    <col min="8460" max="8460" width="12" style="3" bestFit="1" customWidth="1"/>
    <col min="8461" max="8461" width="10.44140625" style="3" customWidth="1"/>
    <col min="8462" max="8462" width="11.77734375" style="3" bestFit="1" customWidth="1"/>
    <col min="8463" max="8463" width="11.21875" style="3" bestFit="1" customWidth="1"/>
    <col min="8464" max="8466" width="11.44140625" style="3"/>
    <col min="8467" max="8467" width="2.21875" style="3" customWidth="1"/>
    <col min="8468" max="8703" width="11.44140625" style="3"/>
    <col min="8704" max="8704" width="3.21875" style="3" customWidth="1"/>
    <col min="8705" max="8705" width="33.77734375" style="3" customWidth="1"/>
    <col min="8706" max="8706" width="11.44140625" style="3"/>
    <col min="8707" max="8707" width="10.77734375" style="3" bestFit="1" customWidth="1"/>
    <col min="8708" max="8708" width="10.77734375" style="3" customWidth="1"/>
    <col min="8709" max="8709" width="11.21875" style="3" bestFit="1" customWidth="1"/>
    <col min="8710" max="8710" width="11.44140625" style="3"/>
    <col min="8711" max="8711" width="12.44140625" style="3" customWidth="1"/>
    <col min="8712" max="8712" width="11.44140625" style="3"/>
    <col min="8713" max="8713" width="9.77734375" style="3" bestFit="1" customWidth="1"/>
    <col min="8714" max="8714" width="12" style="3" bestFit="1" customWidth="1"/>
    <col min="8715" max="8715" width="11.44140625" style="3"/>
    <col min="8716" max="8716" width="12" style="3" bestFit="1" customWidth="1"/>
    <col min="8717" max="8717" width="10.44140625" style="3" customWidth="1"/>
    <col min="8718" max="8718" width="11.77734375" style="3" bestFit="1" customWidth="1"/>
    <col min="8719" max="8719" width="11.21875" style="3" bestFit="1" customWidth="1"/>
    <col min="8720" max="8722" width="11.44140625" style="3"/>
    <col min="8723" max="8723" width="2.21875" style="3" customWidth="1"/>
    <col min="8724" max="8959" width="11.44140625" style="3"/>
    <col min="8960" max="8960" width="3.21875" style="3" customWidth="1"/>
    <col min="8961" max="8961" width="33.77734375" style="3" customWidth="1"/>
    <col min="8962" max="8962" width="11.44140625" style="3"/>
    <col min="8963" max="8963" width="10.77734375" style="3" bestFit="1" customWidth="1"/>
    <col min="8964" max="8964" width="10.77734375" style="3" customWidth="1"/>
    <col min="8965" max="8965" width="11.21875" style="3" bestFit="1" customWidth="1"/>
    <col min="8966" max="8966" width="11.44140625" style="3"/>
    <col min="8967" max="8967" width="12.44140625" style="3" customWidth="1"/>
    <col min="8968" max="8968" width="11.44140625" style="3"/>
    <col min="8969" max="8969" width="9.77734375" style="3" bestFit="1" customWidth="1"/>
    <col min="8970" max="8970" width="12" style="3" bestFit="1" customWidth="1"/>
    <col min="8971" max="8971" width="11.44140625" style="3"/>
    <col min="8972" max="8972" width="12" style="3" bestFit="1" customWidth="1"/>
    <col min="8973" max="8973" width="10.44140625" style="3" customWidth="1"/>
    <col min="8974" max="8974" width="11.77734375" style="3" bestFit="1" customWidth="1"/>
    <col min="8975" max="8975" width="11.21875" style="3" bestFit="1" customWidth="1"/>
    <col min="8976" max="8978" width="11.44140625" style="3"/>
    <col min="8979" max="8979" width="2.21875" style="3" customWidth="1"/>
    <col min="8980" max="9215" width="11.44140625" style="3"/>
    <col min="9216" max="9216" width="3.21875" style="3" customWidth="1"/>
    <col min="9217" max="9217" width="33.77734375" style="3" customWidth="1"/>
    <col min="9218" max="9218" width="11.44140625" style="3"/>
    <col min="9219" max="9219" width="10.77734375" style="3" bestFit="1" customWidth="1"/>
    <col min="9220" max="9220" width="10.77734375" style="3" customWidth="1"/>
    <col min="9221" max="9221" width="11.21875" style="3" bestFit="1" customWidth="1"/>
    <col min="9222" max="9222" width="11.44140625" style="3"/>
    <col min="9223" max="9223" width="12.44140625" style="3" customWidth="1"/>
    <col min="9224" max="9224" width="11.44140625" style="3"/>
    <col min="9225" max="9225" width="9.77734375" style="3" bestFit="1" customWidth="1"/>
    <col min="9226" max="9226" width="12" style="3" bestFit="1" customWidth="1"/>
    <col min="9227" max="9227" width="11.44140625" style="3"/>
    <col min="9228" max="9228" width="12" style="3" bestFit="1" customWidth="1"/>
    <col min="9229" max="9229" width="10.44140625" style="3" customWidth="1"/>
    <col min="9230" max="9230" width="11.77734375" style="3" bestFit="1" customWidth="1"/>
    <col min="9231" max="9231" width="11.21875" style="3" bestFit="1" customWidth="1"/>
    <col min="9232" max="9234" width="11.44140625" style="3"/>
    <col min="9235" max="9235" width="2.21875" style="3" customWidth="1"/>
    <col min="9236" max="9471" width="11.44140625" style="3"/>
    <col min="9472" max="9472" width="3.21875" style="3" customWidth="1"/>
    <col min="9473" max="9473" width="33.77734375" style="3" customWidth="1"/>
    <col min="9474" max="9474" width="11.44140625" style="3"/>
    <col min="9475" max="9475" width="10.77734375" style="3" bestFit="1" customWidth="1"/>
    <col min="9476" max="9476" width="10.77734375" style="3" customWidth="1"/>
    <col min="9477" max="9477" width="11.21875" style="3" bestFit="1" customWidth="1"/>
    <col min="9478" max="9478" width="11.44140625" style="3"/>
    <col min="9479" max="9479" width="12.44140625" style="3" customWidth="1"/>
    <col min="9480" max="9480" width="11.44140625" style="3"/>
    <col min="9481" max="9481" width="9.77734375" style="3" bestFit="1" customWidth="1"/>
    <col min="9482" max="9482" width="12" style="3" bestFit="1" customWidth="1"/>
    <col min="9483" max="9483" width="11.44140625" style="3"/>
    <col min="9484" max="9484" width="12" style="3" bestFit="1" customWidth="1"/>
    <col min="9485" max="9485" width="10.44140625" style="3" customWidth="1"/>
    <col min="9486" max="9486" width="11.77734375" style="3" bestFit="1" customWidth="1"/>
    <col min="9487" max="9487" width="11.21875" style="3" bestFit="1" customWidth="1"/>
    <col min="9488" max="9490" width="11.44140625" style="3"/>
    <col min="9491" max="9491" width="2.21875" style="3" customWidth="1"/>
    <col min="9492" max="9727" width="11.44140625" style="3"/>
    <col min="9728" max="9728" width="3.21875" style="3" customWidth="1"/>
    <col min="9729" max="9729" width="33.77734375" style="3" customWidth="1"/>
    <col min="9730" max="9730" width="11.44140625" style="3"/>
    <col min="9731" max="9731" width="10.77734375" style="3" bestFit="1" customWidth="1"/>
    <col min="9732" max="9732" width="10.77734375" style="3" customWidth="1"/>
    <col min="9733" max="9733" width="11.21875" style="3" bestFit="1" customWidth="1"/>
    <col min="9734" max="9734" width="11.44140625" style="3"/>
    <col min="9735" max="9735" width="12.44140625" style="3" customWidth="1"/>
    <col min="9736" max="9736" width="11.44140625" style="3"/>
    <col min="9737" max="9737" width="9.77734375" style="3" bestFit="1" customWidth="1"/>
    <col min="9738" max="9738" width="12" style="3" bestFit="1" customWidth="1"/>
    <col min="9739" max="9739" width="11.44140625" style="3"/>
    <col min="9740" max="9740" width="12" style="3" bestFit="1" customWidth="1"/>
    <col min="9741" max="9741" width="10.44140625" style="3" customWidth="1"/>
    <col min="9742" max="9742" width="11.77734375" style="3" bestFit="1" customWidth="1"/>
    <col min="9743" max="9743" width="11.21875" style="3" bestFit="1" customWidth="1"/>
    <col min="9744" max="9746" width="11.44140625" style="3"/>
    <col min="9747" max="9747" width="2.21875" style="3" customWidth="1"/>
    <col min="9748" max="9983" width="11.44140625" style="3"/>
    <col min="9984" max="9984" width="3.21875" style="3" customWidth="1"/>
    <col min="9985" max="9985" width="33.77734375" style="3" customWidth="1"/>
    <col min="9986" max="9986" width="11.44140625" style="3"/>
    <col min="9987" max="9987" width="10.77734375" style="3" bestFit="1" customWidth="1"/>
    <col min="9988" max="9988" width="10.77734375" style="3" customWidth="1"/>
    <col min="9989" max="9989" width="11.21875" style="3" bestFit="1" customWidth="1"/>
    <col min="9990" max="9990" width="11.44140625" style="3"/>
    <col min="9991" max="9991" width="12.44140625" style="3" customWidth="1"/>
    <col min="9992" max="9992" width="11.44140625" style="3"/>
    <col min="9993" max="9993" width="9.77734375" style="3" bestFit="1" customWidth="1"/>
    <col min="9994" max="9994" width="12" style="3" bestFit="1" customWidth="1"/>
    <col min="9995" max="9995" width="11.44140625" style="3"/>
    <col min="9996" max="9996" width="12" style="3" bestFit="1" customWidth="1"/>
    <col min="9997" max="9997" width="10.44140625" style="3" customWidth="1"/>
    <col min="9998" max="9998" width="11.77734375" style="3" bestFit="1" customWidth="1"/>
    <col min="9999" max="9999" width="11.21875" style="3" bestFit="1" customWidth="1"/>
    <col min="10000" max="10002" width="11.44140625" style="3"/>
    <col min="10003" max="10003" width="2.21875" style="3" customWidth="1"/>
    <col min="10004" max="10239" width="11.44140625" style="3"/>
    <col min="10240" max="10240" width="3.21875" style="3" customWidth="1"/>
    <col min="10241" max="10241" width="33.77734375" style="3" customWidth="1"/>
    <col min="10242" max="10242" width="11.44140625" style="3"/>
    <col min="10243" max="10243" width="10.77734375" style="3" bestFit="1" customWidth="1"/>
    <col min="10244" max="10244" width="10.77734375" style="3" customWidth="1"/>
    <col min="10245" max="10245" width="11.21875" style="3" bestFit="1" customWidth="1"/>
    <col min="10246" max="10246" width="11.44140625" style="3"/>
    <col min="10247" max="10247" width="12.44140625" style="3" customWidth="1"/>
    <col min="10248" max="10248" width="11.44140625" style="3"/>
    <col min="10249" max="10249" width="9.77734375" style="3" bestFit="1" customWidth="1"/>
    <col min="10250" max="10250" width="12" style="3" bestFit="1" customWidth="1"/>
    <col min="10251" max="10251" width="11.44140625" style="3"/>
    <col min="10252" max="10252" width="12" style="3" bestFit="1" customWidth="1"/>
    <col min="10253" max="10253" width="10.44140625" style="3" customWidth="1"/>
    <col min="10254" max="10254" width="11.77734375" style="3" bestFit="1" customWidth="1"/>
    <col min="10255" max="10255" width="11.21875" style="3" bestFit="1" customWidth="1"/>
    <col min="10256" max="10258" width="11.44140625" style="3"/>
    <col min="10259" max="10259" width="2.21875" style="3" customWidth="1"/>
    <col min="10260" max="10495" width="11.44140625" style="3"/>
    <col min="10496" max="10496" width="3.21875" style="3" customWidth="1"/>
    <col min="10497" max="10497" width="33.77734375" style="3" customWidth="1"/>
    <col min="10498" max="10498" width="11.44140625" style="3"/>
    <col min="10499" max="10499" width="10.77734375" style="3" bestFit="1" customWidth="1"/>
    <col min="10500" max="10500" width="10.77734375" style="3" customWidth="1"/>
    <col min="10501" max="10501" width="11.21875" style="3" bestFit="1" customWidth="1"/>
    <col min="10502" max="10502" width="11.44140625" style="3"/>
    <col min="10503" max="10503" width="12.44140625" style="3" customWidth="1"/>
    <col min="10504" max="10504" width="11.44140625" style="3"/>
    <col min="10505" max="10505" width="9.77734375" style="3" bestFit="1" customWidth="1"/>
    <col min="10506" max="10506" width="12" style="3" bestFit="1" customWidth="1"/>
    <col min="10507" max="10507" width="11.44140625" style="3"/>
    <col min="10508" max="10508" width="12" style="3" bestFit="1" customWidth="1"/>
    <col min="10509" max="10509" width="10.44140625" style="3" customWidth="1"/>
    <col min="10510" max="10510" width="11.77734375" style="3" bestFit="1" customWidth="1"/>
    <col min="10511" max="10511" width="11.21875" style="3" bestFit="1" customWidth="1"/>
    <col min="10512" max="10514" width="11.44140625" style="3"/>
    <col min="10515" max="10515" width="2.21875" style="3" customWidth="1"/>
    <col min="10516" max="10751" width="11.44140625" style="3"/>
    <col min="10752" max="10752" width="3.21875" style="3" customWidth="1"/>
    <col min="10753" max="10753" width="33.77734375" style="3" customWidth="1"/>
    <col min="10754" max="10754" width="11.44140625" style="3"/>
    <col min="10755" max="10755" width="10.77734375" style="3" bestFit="1" customWidth="1"/>
    <col min="10756" max="10756" width="10.77734375" style="3" customWidth="1"/>
    <col min="10757" max="10757" width="11.21875" style="3" bestFit="1" customWidth="1"/>
    <col min="10758" max="10758" width="11.44140625" style="3"/>
    <col min="10759" max="10759" width="12.44140625" style="3" customWidth="1"/>
    <col min="10760" max="10760" width="11.44140625" style="3"/>
    <col min="10761" max="10761" width="9.77734375" style="3" bestFit="1" customWidth="1"/>
    <col min="10762" max="10762" width="12" style="3" bestFit="1" customWidth="1"/>
    <col min="10763" max="10763" width="11.44140625" style="3"/>
    <col min="10764" max="10764" width="12" style="3" bestFit="1" customWidth="1"/>
    <col min="10765" max="10765" width="10.44140625" style="3" customWidth="1"/>
    <col min="10766" max="10766" width="11.77734375" style="3" bestFit="1" customWidth="1"/>
    <col min="10767" max="10767" width="11.21875" style="3" bestFit="1" customWidth="1"/>
    <col min="10768" max="10770" width="11.44140625" style="3"/>
    <col min="10771" max="10771" width="2.21875" style="3" customWidth="1"/>
    <col min="10772" max="11007" width="11.44140625" style="3"/>
    <col min="11008" max="11008" width="3.21875" style="3" customWidth="1"/>
    <col min="11009" max="11009" width="33.77734375" style="3" customWidth="1"/>
    <col min="11010" max="11010" width="11.44140625" style="3"/>
    <col min="11011" max="11011" width="10.77734375" style="3" bestFit="1" customWidth="1"/>
    <col min="11012" max="11012" width="10.77734375" style="3" customWidth="1"/>
    <col min="11013" max="11013" width="11.21875" style="3" bestFit="1" customWidth="1"/>
    <col min="11014" max="11014" width="11.44140625" style="3"/>
    <col min="11015" max="11015" width="12.44140625" style="3" customWidth="1"/>
    <col min="11016" max="11016" width="11.44140625" style="3"/>
    <col min="11017" max="11017" width="9.77734375" style="3" bestFit="1" customWidth="1"/>
    <col min="11018" max="11018" width="12" style="3" bestFit="1" customWidth="1"/>
    <col min="11019" max="11019" width="11.44140625" style="3"/>
    <col min="11020" max="11020" width="12" style="3" bestFit="1" customWidth="1"/>
    <col min="11021" max="11021" width="10.44140625" style="3" customWidth="1"/>
    <col min="11022" max="11022" width="11.77734375" style="3" bestFit="1" customWidth="1"/>
    <col min="11023" max="11023" width="11.21875" style="3" bestFit="1" customWidth="1"/>
    <col min="11024" max="11026" width="11.44140625" style="3"/>
    <col min="11027" max="11027" width="2.21875" style="3" customWidth="1"/>
    <col min="11028" max="11263" width="11.44140625" style="3"/>
    <col min="11264" max="11264" width="3.21875" style="3" customWidth="1"/>
    <col min="11265" max="11265" width="33.77734375" style="3" customWidth="1"/>
    <col min="11266" max="11266" width="11.44140625" style="3"/>
    <col min="11267" max="11267" width="10.77734375" style="3" bestFit="1" customWidth="1"/>
    <col min="11268" max="11268" width="10.77734375" style="3" customWidth="1"/>
    <col min="11269" max="11269" width="11.21875" style="3" bestFit="1" customWidth="1"/>
    <col min="11270" max="11270" width="11.44140625" style="3"/>
    <col min="11271" max="11271" width="12.44140625" style="3" customWidth="1"/>
    <col min="11272" max="11272" width="11.44140625" style="3"/>
    <col min="11273" max="11273" width="9.77734375" style="3" bestFit="1" customWidth="1"/>
    <col min="11274" max="11274" width="12" style="3" bestFit="1" customWidth="1"/>
    <col min="11275" max="11275" width="11.44140625" style="3"/>
    <col min="11276" max="11276" width="12" style="3" bestFit="1" customWidth="1"/>
    <col min="11277" max="11277" width="10.44140625" style="3" customWidth="1"/>
    <col min="11278" max="11278" width="11.77734375" style="3" bestFit="1" customWidth="1"/>
    <col min="11279" max="11279" width="11.21875" style="3" bestFit="1" customWidth="1"/>
    <col min="11280" max="11282" width="11.44140625" style="3"/>
    <col min="11283" max="11283" width="2.21875" style="3" customWidth="1"/>
    <col min="11284" max="11519" width="11.44140625" style="3"/>
    <col min="11520" max="11520" width="3.21875" style="3" customWidth="1"/>
    <col min="11521" max="11521" width="33.77734375" style="3" customWidth="1"/>
    <col min="11522" max="11522" width="11.44140625" style="3"/>
    <col min="11523" max="11523" width="10.77734375" style="3" bestFit="1" customWidth="1"/>
    <col min="11524" max="11524" width="10.77734375" style="3" customWidth="1"/>
    <col min="11525" max="11525" width="11.21875" style="3" bestFit="1" customWidth="1"/>
    <col min="11526" max="11526" width="11.44140625" style="3"/>
    <col min="11527" max="11527" width="12.44140625" style="3" customWidth="1"/>
    <col min="11528" max="11528" width="11.44140625" style="3"/>
    <col min="11529" max="11529" width="9.77734375" style="3" bestFit="1" customWidth="1"/>
    <col min="11530" max="11530" width="12" style="3" bestFit="1" customWidth="1"/>
    <col min="11531" max="11531" width="11.44140625" style="3"/>
    <col min="11532" max="11532" width="12" style="3" bestFit="1" customWidth="1"/>
    <col min="11533" max="11533" width="10.44140625" style="3" customWidth="1"/>
    <col min="11534" max="11534" width="11.77734375" style="3" bestFit="1" customWidth="1"/>
    <col min="11535" max="11535" width="11.21875" style="3" bestFit="1" customWidth="1"/>
    <col min="11536" max="11538" width="11.44140625" style="3"/>
    <col min="11539" max="11539" width="2.21875" style="3" customWidth="1"/>
    <col min="11540" max="11775" width="11.44140625" style="3"/>
    <col min="11776" max="11776" width="3.21875" style="3" customWidth="1"/>
    <col min="11777" max="11777" width="33.77734375" style="3" customWidth="1"/>
    <col min="11778" max="11778" width="11.44140625" style="3"/>
    <col min="11779" max="11779" width="10.77734375" style="3" bestFit="1" customWidth="1"/>
    <col min="11780" max="11780" width="10.77734375" style="3" customWidth="1"/>
    <col min="11781" max="11781" width="11.21875" style="3" bestFit="1" customWidth="1"/>
    <col min="11782" max="11782" width="11.44140625" style="3"/>
    <col min="11783" max="11783" width="12.44140625" style="3" customWidth="1"/>
    <col min="11784" max="11784" width="11.44140625" style="3"/>
    <col min="11785" max="11785" width="9.77734375" style="3" bestFit="1" customWidth="1"/>
    <col min="11786" max="11786" width="12" style="3" bestFit="1" customWidth="1"/>
    <col min="11787" max="11787" width="11.44140625" style="3"/>
    <col min="11788" max="11788" width="12" style="3" bestFit="1" customWidth="1"/>
    <col min="11789" max="11789" width="10.44140625" style="3" customWidth="1"/>
    <col min="11790" max="11790" width="11.77734375" style="3" bestFit="1" customWidth="1"/>
    <col min="11791" max="11791" width="11.21875" style="3" bestFit="1" customWidth="1"/>
    <col min="11792" max="11794" width="11.44140625" style="3"/>
    <col min="11795" max="11795" width="2.21875" style="3" customWidth="1"/>
    <col min="11796" max="12031" width="11.44140625" style="3"/>
    <col min="12032" max="12032" width="3.21875" style="3" customWidth="1"/>
    <col min="12033" max="12033" width="33.77734375" style="3" customWidth="1"/>
    <col min="12034" max="12034" width="11.44140625" style="3"/>
    <col min="12035" max="12035" width="10.77734375" style="3" bestFit="1" customWidth="1"/>
    <col min="12036" max="12036" width="10.77734375" style="3" customWidth="1"/>
    <col min="12037" max="12037" width="11.21875" style="3" bestFit="1" customWidth="1"/>
    <col min="12038" max="12038" width="11.44140625" style="3"/>
    <col min="12039" max="12039" width="12.44140625" style="3" customWidth="1"/>
    <col min="12040" max="12040" width="11.44140625" style="3"/>
    <col min="12041" max="12041" width="9.77734375" style="3" bestFit="1" customWidth="1"/>
    <col min="12042" max="12042" width="12" style="3" bestFit="1" customWidth="1"/>
    <col min="12043" max="12043" width="11.44140625" style="3"/>
    <col min="12044" max="12044" width="12" style="3" bestFit="1" customWidth="1"/>
    <col min="12045" max="12045" width="10.44140625" style="3" customWidth="1"/>
    <col min="12046" max="12046" width="11.77734375" style="3" bestFit="1" customWidth="1"/>
    <col min="12047" max="12047" width="11.21875" style="3" bestFit="1" customWidth="1"/>
    <col min="12048" max="12050" width="11.44140625" style="3"/>
    <col min="12051" max="12051" width="2.21875" style="3" customWidth="1"/>
    <col min="12052" max="12287" width="11.44140625" style="3"/>
    <col min="12288" max="12288" width="3.21875" style="3" customWidth="1"/>
    <col min="12289" max="12289" width="33.77734375" style="3" customWidth="1"/>
    <col min="12290" max="12290" width="11.44140625" style="3"/>
    <col min="12291" max="12291" width="10.77734375" style="3" bestFit="1" customWidth="1"/>
    <col min="12292" max="12292" width="10.77734375" style="3" customWidth="1"/>
    <col min="12293" max="12293" width="11.21875" style="3" bestFit="1" customWidth="1"/>
    <col min="12294" max="12294" width="11.44140625" style="3"/>
    <col min="12295" max="12295" width="12.44140625" style="3" customWidth="1"/>
    <col min="12296" max="12296" width="11.44140625" style="3"/>
    <col min="12297" max="12297" width="9.77734375" style="3" bestFit="1" customWidth="1"/>
    <col min="12298" max="12298" width="12" style="3" bestFit="1" customWidth="1"/>
    <col min="12299" max="12299" width="11.44140625" style="3"/>
    <col min="12300" max="12300" width="12" style="3" bestFit="1" customWidth="1"/>
    <col min="12301" max="12301" width="10.44140625" style="3" customWidth="1"/>
    <col min="12302" max="12302" width="11.77734375" style="3" bestFit="1" customWidth="1"/>
    <col min="12303" max="12303" width="11.21875" style="3" bestFit="1" customWidth="1"/>
    <col min="12304" max="12306" width="11.44140625" style="3"/>
    <col min="12307" max="12307" width="2.21875" style="3" customWidth="1"/>
    <col min="12308" max="12543" width="11.44140625" style="3"/>
    <col min="12544" max="12544" width="3.21875" style="3" customWidth="1"/>
    <col min="12545" max="12545" width="33.77734375" style="3" customWidth="1"/>
    <col min="12546" max="12546" width="11.44140625" style="3"/>
    <col min="12547" max="12547" width="10.77734375" style="3" bestFit="1" customWidth="1"/>
    <col min="12548" max="12548" width="10.77734375" style="3" customWidth="1"/>
    <col min="12549" max="12549" width="11.21875" style="3" bestFit="1" customWidth="1"/>
    <col min="12550" max="12550" width="11.44140625" style="3"/>
    <col min="12551" max="12551" width="12.44140625" style="3" customWidth="1"/>
    <col min="12552" max="12552" width="11.44140625" style="3"/>
    <col min="12553" max="12553" width="9.77734375" style="3" bestFit="1" customWidth="1"/>
    <col min="12554" max="12554" width="12" style="3" bestFit="1" customWidth="1"/>
    <col min="12555" max="12555" width="11.44140625" style="3"/>
    <col min="12556" max="12556" width="12" style="3" bestFit="1" customWidth="1"/>
    <col min="12557" max="12557" width="10.44140625" style="3" customWidth="1"/>
    <col min="12558" max="12558" width="11.77734375" style="3" bestFit="1" customWidth="1"/>
    <col min="12559" max="12559" width="11.21875" style="3" bestFit="1" customWidth="1"/>
    <col min="12560" max="12562" width="11.44140625" style="3"/>
    <col min="12563" max="12563" width="2.21875" style="3" customWidth="1"/>
    <col min="12564" max="12799" width="11.44140625" style="3"/>
    <col min="12800" max="12800" width="3.21875" style="3" customWidth="1"/>
    <col min="12801" max="12801" width="33.77734375" style="3" customWidth="1"/>
    <col min="12802" max="12802" width="11.44140625" style="3"/>
    <col min="12803" max="12803" width="10.77734375" style="3" bestFit="1" customWidth="1"/>
    <col min="12804" max="12804" width="10.77734375" style="3" customWidth="1"/>
    <col min="12805" max="12805" width="11.21875" style="3" bestFit="1" customWidth="1"/>
    <col min="12806" max="12806" width="11.44140625" style="3"/>
    <col min="12807" max="12807" width="12.44140625" style="3" customWidth="1"/>
    <col min="12808" max="12808" width="11.44140625" style="3"/>
    <col min="12809" max="12809" width="9.77734375" style="3" bestFit="1" customWidth="1"/>
    <col min="12810" max="12810" width="12" style="3" bestFit="1" customWidth="1"/>
    <col min="12811" max="12811" width="11.44140625" style="3"/>
    <col min="12812" max="12812" width="12" style="3" bestFit="1" customWidth="1"/>
    <col min="12813" max="12813" width="10.44140625" style="3" customWidth="1"/>
    <col min="12814" max="12814" width="11.77734375" style="3" bestFit="1" customWidth="1"/>
    <col min="12815" max="12815" width="11.21875" style="3" bestFit="1" customWidth="1"/>
    <col min="12816" max="12818" width="11.44140625" style="3"/>
    <col min="12819" max="12819" width="2.21875" style="3" customWidth="1"/>
    <col min="12820" max="13055" width="11.44140625" style="3"/>
    <col min="13056" max="13056" width="3.21875" style="3" customWidth="1"/>
    <col min="13057" max="13057" width="33.77734375" style="3" customWidth="1"/>
    <col min="13058" max="13058" width="11.44140625" style="3"/>
    <col min="13059" max="13059" width="10.77734375" style="3" bestFit="1" customWidth="1"/>
    <col min="13060" max="13060" width="10.77734375" style="3" customWidth="1"/>
    <col min="13061" max="13061" width="11.21875" style="3" bestFit="1" customWidth="1"/>
    <col min="13062" max="13062" width="11.44140625" style="3"/>
    <col min="13063" max="13063" width="12.44140625" style="3" customWidth="1"/>
    <col min="13064" max="13064" width="11.44140625" style="3"/>
    <col min="13065" max="13065" width="9.77734375" style="3" bestFit="1" customWidth="1"/>
    <col min="13066" max="13066" width="12" style="3" bestFit="1" customWidth="1"/>
    <col min="13067" max="13067" width="11.44140625" style="3"/>
    <col min="13068" max="13068" width="12" style="3" bestFit="1" customWidth="1"/>
    <col min="13069" max="13069" width="10.44140625" style="3" customWidth="1"/>
    <col min="13070" max="13070" width="11.77734375" style="3" bestFit="1" customWidth="1"/>
    <col min="13071" max="13071" width="11.21875" style="3" bestFit="1" customWidth="1"/>
    <col min="13072" max="13074" width="11.44140625" style="3"/>
    <col min="13075" max="13075" width="2.21875" style="3" customWidth="1"/>
    <col min="13076" max="13311" width="11.44140625" style="3"/>
    <col min="13312" max="13312" width="3.21875" style="3" customWidth="1"/>
    <col min="13313" max="13313" width="33.77734375" style="3" customWidth="1"/>
    <col min="13314" max="13314" width="11.44140625" style="3"/>
    <col min="13315" max="13315" width="10.77734375" style="3" bestFit="1" customWidth="1"/>
    <col min="13316" max="13316" width="10.77734375" style="3" customWidth="1"/>
    <col min="13317" max="13317" width="11.21875" style="3" bestFit="1" customWidth="1"/>
    <col min="13318" max="13318" width="11.44140625" style="3"/>
    <col min="13319" max="13319" width="12.44140625" style="3" customWidth="1"/>
    <col min="13320" max="13320" width="11.44140625" style="3"/>
    <col min="13321" max="13321" width="9.77734375" style="3" bestFit="1" customWidth="1"/>
    <col min="13322" max="13322" width="12" style="3" bestFit="1" customWidth="1"/>
    <col min="13323" max="13323" width="11.44140625" style="3"/>
    <col min="13324" max="13324" width="12" style="3" bestFit="1" customWidth="1"/>
    <col min="13325" max="13325" width="10.44140625" style="3" customWidth="1"/>
    <col min="13326" max="13326" width="11.77734375" style="3" bestFit="1" customWidth="1"/>
    <col min="13327" max="13327" width="11.21875" style="3" bestFit="1" customWidth="1"/>
    <col min="13328" max="13330" width="11.44140625" style="3"/>
    <col min="13331" max="13331" width="2.21875" style="3" customWidth="1"/>
    <col min="13332" max="13567" width="11.44140625" style="3"/>
    <col min="13568" max="13568" width="3.21875" style="3" customWidth="1"/>
    <col min="13569" max="13569" width="33.77734375" style="3" customWidth="1"/>
    <col min="13570" max="13570" width="11.44140625" style="3"/>
    <col min="13571" max="13571" width="10.77734375" style="3" bestFit="1" customWidth="1"/>
    <col min="13572" max="13572" width="10.77734375" style="3" customWidth="1"/>
    <col min="13573" max="13573" width="11.21875" style="3" bestFit="1" customWidth="1"/>
    <col min="13574" max="13574" width="11.44140625" style="3"/>
    <col min="13575" max="13575" width="12.44140625" style="3" customWidth="1"/>
    <col min="13576" max="13576" width="11.44140625" style="3"/>
    <col min="13577" max="13577" width="9.77734375" style="3" bestFit="1" customWidth="1"/>
    <col min="13578" max="13578" width="12" style="3" bestFit="1" customWidth="1"/>
    <col min="13579" max="13579" width="11.44140625" style="3"/>
    <col min="13580" max="13580" width="12" style="3" bestFit="1" customWidth="1"/>
    <col min="13581" max="13581" width="10.44140625" style="3" customWidth="1"/>
    <col min="13582" max="13582" width="11.77734375" style="3" bestFit="1" customWidth="1"/>
    <col min="13583" max="13583" width="11.21875" style="3" bestFit="1" customWidth="1"/>
    <col min="13584" max="13586" width="11.44140625" style="3"/>
    <col min="13587" max="13587" width="2.21875" style="3" customWidth="1"/>
    <col min="13588" max="13823" width="11.44140625" style="3"/>
    <col min="13824" max="13824" width="3.21875" style="3" customWidth="1"/>
    <col min="13825" max="13825" width="33.77734375" style="3" customWidth="1"/>
    <col min="13826" max="13826" width="11.44140625" style="3"/>
    <col min="13827" max="13827" width="10.77734375" style="3" bestFit="1" customWidth="1"/>
    <col min="13828" max="13828" width="10.77734375" style="3" customWidth="1"/>
    <col min="13829" max="13829" width="11.21875" style="3" bestFit="1" customWidth="1"/>
    <col min="13830" max="13830" width="11.44140625" style="3"/>
    <col min="13831" max="13831" width="12.44140625" style="3" customWidth="1"/>
    <col min="13832" max="13832" width="11.44140625" style="3"/>
    <col min="13833" max="13833" width="9.77734375" style="3" bestFit="1" customWidth="1"/>
    <col min="13834" max="13834" width="12" style="3" bestFit="1" customWidth="1"/>
    <col min="13835" max="13835" width="11.44140625" style="3"/>
    <col min="13836" max="13836" width="12" style="3" bestFit="1" customWidth="1"/>
    <col min="13837" max="13837" width="10.44140625" style="3" customWidth="1"/>
    <col min="13838" max="13838" width="11.77734375" style="3" bestFit="1" customWidth="1"/>
    <col min="13839" max="13839" width="11.21875" style="3" bestFit="1" customWidth="1"/>
    <col min="13840" max="13842" width="11.44140625" style="3"/>
    <col min="13843" max="13843" width="2.21875" style="3" customWidth="1"/>
    <col min="13844" max="14079" width="11.44140625" style="3"/>
    <col min="14080" max="14080" width="3.21875" style="3" customWidth="1"/>
    <col min="14081" max="14081" width="33.77734375" style="3" customWidth="1"/>
    <col min="14082" max="14082" width="11.44140625" style="3"/>
    <col min="14083" max="14083" width="10.77734375" style="3" bestFit="1" customWidth="1"/>
    <col min="14084" max="14084" width="10.77734375" style="3" customWidth="1"/>
    <col min="14085" max="14085" width="11.21875" style="3" bestFit="1" customWidth="1"/>
    <col min="14086" max="14086" width="11.44140625" style="3"/>
    <col min="14087" max="14087" width="12.44140625" style="3" customWidth="1"/>
    <col min="14088" max="14088" width="11.44140625" style="3"/>
    <col min="14089" max="14089" width="9.77734375" style="3" bestFit="1" customWidth="1"/>
    <col min="14090" max="14090" width="12" style="3" bestFit="1" customWidth="1"/>
    <col min="14091" max="14091" width="11.44140625" style="3"/>
    <col min="14092" max="14092" width="12" style="3" bestFit="1" customWidth="1"/>
    <col min="14093" max="14093" width="10.44140625" style="3" customWidth="1"/>
    <col min="14094" max="14094" width="11.77734375" style="3" bestFit="1" customWidth="1"/>
    <col min="14095" max="14095" width="11.21875" style="3" bestFit="1" customWidth="1"/>
    <col min="14096" max="14098" width="11.44140625" style="3"/>
    <col min="14099" max="14099" width="2.21875" style="3" customWidth="1"/>
    <col min="14100" max="14335" width="11.44140625" style="3"/>
    <col min="14336" max="14336" width="3.21875" style="3" customWidth="1"/>
    <col min="14337" max="14337" width="33.77734375" style="3" customWidth="1"/>
    <col min="14338" max="14338" width="11.44140625" style="3"/>
    <col min="14339" max="14339" width="10.77734375" style="3" bestFit="1" customWidth="1"/>
    <col min="14340" max="14340" width="10.77734375" style="3" customWidth="1"/>
    <col min="14341" max="14341" width="11.21875" style="3" bestFit="1" customWidth="1"/>
    <col min="14342" max="14342" width="11.44140625" style="3"/>
    <col min="14343" max="14343" width="12.44140625" style="3" customWidth="1"/>
    <col min="14344" max="14344" width="11.44140625" style="3"/>
    <col min="14345" max="14345" width="9.77734375" style="3" bestFit="1" customWidth="1"/>
    <col min="14346" max="14346" width="12" style="3" bestFit="1" customWidth="1"/>
    <col min="14347" max="14347" width="11.44140625" style="3"/>
    <col min="14348" max="14348" width="12" style="3" bestFit="1" customWidth="1"/>
    <col min="14349" max="14349" width="10.44140625" style="3" customWidth="1"/>
    <col min="14350" max="14350" width="11.77734375" style="3" bestFit="1" customWidth="1"/>
    <col min="14351" max="14351" width="11.21875" style="3" bestFit="1" customWidth="1"/>
    <col min="14352" max="14354" width="11.44140625" style="3"/>
    <col min="14355" max="14355" width="2.21875" style="3" customWidth="1"/>
    <col min="14356" max="14591" width="11.44140625" style="3"/>
    <col min="14592" max="14592" width="3.21875" style="3" customWidth="1"/>
    <col min="14593" max="14593" width="33.77734375" style="3" customWidth="1"/>
    <col min="14594" max="14594" width="11.44140625" style="3"/>
    <col min="14595" max="14595" width="10.77734375" style="3" bestFit="1" customWidth="1"/>
    <col min="14596" max="14596" width="10.77734375" style="3" customWidth="1"/>
    <col min="14597" max="14597" width="11.21875" style="3" bestFit="1" customWidth="1"/>
    <col min="14598" max="14598" width="11.44140625" style="3"/>
    <col min="14599" max="14599" width="12.44140625" style="3" customWidth="1"/>
    <col min="14600" max="14600" width="11.44140625" style="3"/>
    <col min="14601" max="14601" width="9.77734375" style="3" bestFit="1" customWidth="1"/>
    <col min="14602" max="14602" width="12" style="3" bestFit="1" customWidth="1"/>
    <col min="14603" max="14603" width="11.44140625" style="3"/>
    <col min="14604" max="14604" width="12" style="3" bestFit="1" customWidth="1"/>
    <col min="14605" max="14605" width="10.44140625" style="3" customWidth="1"/>
    <col min="14606" max="14606" width="11.77734375" style="3" bestFit="1" customWidth="1"/>
    <col min="14607" max="14607" width="11.21875" style="3" bestFit="1" customWidth="1"/>
    <col min="14608" max="14610" width="11.44140625" style="3"/>
    <col min="14611" max="14611" width="2.21875" style="3" customWidth="1"/>
    <col min="14612" max="14847" width="11.44140625" style="3"/>
    <col min="14848" max="14848" width="3.21875" style="3" customWidth="1"/>
    <col min="14849" max="14849" width="33.77734375" style="3" customWidth="1"/>
    <col min="14850" max="14850" width="11.44140625" style="3"/>
    <col min="14851" max="14851" width="10.77734375" style="3" bestFit="1" customWidth="1"/>
    <col min="14852" max="14852" width="10.77734375" style="3" customWidth="1"/>
    <col min="14853" max="14853" width="11.21875" style="3" bestFit="1" customWidth="1"/>
    <col min="14854" max="14854" width="11.44140625" style="3"/>
    <col min="14855" max="14855" width="12.44140625" style="3" customWidth="1"/>
    <col min="14856" max="14856" width="11.44140625" style="3"/>
    <col min="14857" max="14857" width="9.77734375" style="3" bestFit="1" customWidth="1"/>
    <col min="14858" max="14858" width="12" style="3" bestFit="1" customWidth="1"/>
    <col min="14859" max="14859" width="11.44140625" style="3"/>
    <col min="14860" max="14860" width="12" style="3" bestFit="1" customWidth="1"/>
    <col min="14861" max="14861" width="10.44140625" style="3" customWidth="1"/>
    <col min="14862" max="14862" width="11.77734375" style="3" bestFit="1" customWidth="1"/>
    <col min="14863" max="14863" width="11.21875" style="3" bestFit="1" customWidth="1"/>
    <col min="14864" max="14866" width="11.44140625" style="3"/>
    <col min="14867" max="14867" width="2.21875" style="3" customWidth="1"/>
    <col min="14868" max="15103" width="11.44140625" style="3"/>
    <col min="15104" max="15104" width="3.21875" style="3" customWidth="1"/>
    <col min="15105" max="15105" width="33.77734375" style="3" customWidth="1"/>
    <col min="15106" max="15106" width="11.44140625" style="3"/>
    <col min="15107" max="15107" width="10.77734375" style="3" bestFit="1" customWidth="1"/>
    <col min="15108" max="15108" width="10.77734375" style="3" customWidth="1"/>
    <col min="15109" max="15109" width="11.21875" style="3" bestFit="1" customWidth="1"/>
    <col min="15110" max="15110" width="11.44140625" style="3"/>
    <col min="15111" max="15111" width="12.44140625" style="3" customWidth="1"/>
    <col min="15112" max="15112" width="11.44140625" style="3"/>
    <col min="15113" max="15113" width="9.77734375" style="3" bestFit="1" customWidth="1"/>
    <col min="15114" max="15114" width="12" style="3" bestFit="1" customWidth="1"/>
    <col min="15115" max="15115" width="11.44140625" style="3"/>
    <col min="15116" max="15116" width="12" style="3" bestFit="1" customWidth="1"/>
    <col min="15117" max="15117" width="10.44140625" style="3" customWidth="1"/>
    <col min="15118" max="15118" width="11.77734375" style="3" bestFit="1" customWidth="1"/>
    <col min="15119" max="15119" width="11.21875" style="3" bestFit="1" customWidth="1"/>
    <col min="15120" max="15122" width="11.44140625" style="3"/>
    <col min="15123" max="15123" width="2.21875" style="3" customWidth="1"/>
    <col min="15124" max="15359" width="11.44140625" style="3"/>
    <col min="15360" max="15360" width="3.21875" style="3" customWidth="1"/>
    <col min="15361" max="15361" width="33.77734375" style="3" customWidth="1"/>
    <col min="15362" max="15362" width="11.44140625" style="3"/>
    <col min="15363" max="15363" width="10.77734375" style="3" bestFit="1" customWidth="1"/>
    <col min="15364" max="15364" width="10.77734375" style="3" customWidth="1"/>
    <col min="15365" max="15365" width="11.21875" style="3" bestFit="1" customWidth="1"/>
    <col min="15366" max="15366" width="11.44140625" style="3"/>
    <col min="15367" max="15367" width="12.44140625" style="3" customWidth="1"/>
    <col min="15368" max="15368" width="11.44140625" style="3"/>
    <col min="15369" max="15369" width="9.77734375" style="3" bestFit="1" customWidth="1"/>
    <col min="15370" max="15370" width="12" style="3" bestFit="1" customWidth="1"/>
    <col min="15371" max="15371" width="11.44140625" style="3"/>
    <col min="15372" max="15372" width="12" style="3" bestFit="1" customWidth="1"/>
    <col min="15373" max="15373" width="10.44140625" style="3" customWidth="1"/>
    <col min="15374" max="15374" width="11.77734375" style="3" bestFit="1" customWidth="1"/>
    <col min="15375" max="15375" width="11.21875" style="3" bestFit="1" customWidth="1"/>
    <col min="15376" max="15378" width="11.44140625" style="3"/>
    <col min="15379" max="15379" width="2.21875" style="3" customWidth="1"/>
    <col min="15380" max="15615" width="11.44140625" style="3"/>
    <col min="15616" max="15616" width="3.21875" style="3" customWidth="1"/>
    <col min="15617" max="15617" width="33.77734375" style="3" customWidth="1"/>
    <col min="15618" max="15618" width="11.44140625" style="3"/>
    <col min="15619" max="15619" width="10.77734375" style="3" bestFit="1" customWidth="1"/>
    <col min="15620" max="15620" width="10.77734375" style="3" customWidth="1"/>
    <col min="15621" max="15621" width="11.21875" style="3" bestFit="1" customWidth="1"/>
    <col min="15622" max="15622" width="11.44140625" style="3"/>
    <col min="15623" max="15623" width="12.44140625" style="3" customWidth="1"/>
    <col min="15624" max="15624" width="11.44140625" style="3"/>
    <col min="15625" max="15625" width="9.77734375" style="3" bestFit="1" customWidth="1"/>
    <col min="15626" max="15626" width="12" style="3" bestFit="1" customWidth="1"/>
    <col min="15627" max="15627" width="11.44140625" style="3"/>
    <col min="15628" max="15628" width="12" style="3" bestFit="1" customWidth="1"/>
    <col min="15629" max="15629" width="10.44140625" style="3" customWidth="1"/>
    <col min="15630" max="15630" width="11.77734375" style="3" bestFit="1" customWidth="1"/>
    <col min="15631" max="15631" width="11.21875" style="3" bestFit="1" customWidth="1"/>
    <col min="15632" max="15634" width="11.44140625" style="3"/>
    <col min="15635" max="15635" width="2.21875" style="3" customWidth="1"/>
    <col min="15636" max="15871" width="11.44140625" style="3"/>
    <col min="15872" max="15872" width="3.21875" style="3" customWidth="1"/>
    <col min="15873" max="15873" width="33.77734375" style="3" customWidth="1"/>
    <col min="15874" max="15874" width="11.44140625" style="3"/>
    <col min="15875" max="15875" width="10.77734375" style="3" bestFit="1" customWidth="1"/>
    <col min="15876" max="15876" width="10.77734375" style="3" customWidth="1"/>
    <col min="15877" max="15877" width="11.21875" style="3" bestFit="1" customWidth="1"/>
    <col min="15878" max="15878" width="11.44140625" style="3"/>
    <col min="15879" max="15879" width="12.44140625" style="3" customWidth="1"/>
    <col min="15880" max="15880" width="11.44140625" style="3"/>
    <col min="15881" max="15881" width="9.77734375" style="3" bestFit="1" customWidth="1"/>
    <col min="15882" max="15882" width="12" style="3" bestFit="1" customWidth="1"/>
    <col min="15883" max="15883" width="11.44140625" style="3"/>
    <col min="15884" max="15884" width="12" style="3" bestFit="1" customWidth="1"/>
    <col min="15885" max="15885" width="10.44140625" style="3" customWidth="1"/>
    <col min="15886" max="15886" width="11.77734375" style="3" bestFit="1" customWidth="1"/>
    <col min="15887" max="15887" width="11.21875" style="3" bestFit="1" customWidth="1"/>
    <col min="15888" max="15890" width="11.44140625" style="3"/>
    <col min="15891" max="15891" width="2.21875" style="3" customWidth="1"/>
    <col min="15892" max="16127" width="11.44140625" style="3"/>
    <col min="16128" max="16128" width="3.21875" style="3" customWidth="1"/>
    <col min="16129" max="16129" width="33.77734375" style="3" customWidth="1"/>
    <col min="16130" max="16130" width="11.44140625" style="3"/>
    <col min="16131" max="16131" width="10.77734375" style="3" bestFit="1" customWidth="1"/>
    <col min="16132" max="16132" width="10.77734375" style="3" customWidth="1"/>
    <col min="16133" max="16133" width="11.21875" style="3" bestFit="1" customWidth="1"/>
    <col min="16134" max="16134" width="11.44140625" style="3"/>
    <col min="16135" max="16135" width="12.44140625" style="3" customWidth="1"/>
    <col min="16136" max="16136" width="11.44140625" style="3"/>
    <col min="16137" max="16137" width="9.77734375" style="3" bestFit="1" customWidth="1"/>
    <col min="16138" max="16138" width="12" style="3" bestFit="1" customWidth="1"/>
    <col min="16139" max="16139" width="11.44140625" style="3"/>
    <col min="16140" max="16140" width="12" style="3" bestFit="1" customWidth="1"/>
    <col min="16141" max="16141" width="10.44140625" style="3" customWidth="1"/>
    <col min="16142" max="16142" width="11.77734375" style="3" bestFit="1" customWidth="1"/>
    <col min="16143" max="16143" width="11.21875" style="3" bestFit="1" customWidth="1"/>
    <col min="16144" max="16146" width="11.44140625" style="3"/>
    <col min="16147" max="16147" width="2.21875" style="3" customWidth="1"/>
    <col min="16148" max="16384" width="11.44140625" style="3"/>
  </cols>
  <sheetData>
    <row r="1" spans="1:18" ht="27" x14ac:dyDescent="0.65">
      <c r="A1" s="1" t="s">
        <v>0</v>
      </c>
      <c r="B1" s="2"/>
      <c r="C1" s="2"/>
      <c r="D1" s="2"/>
      <c r="E1" s="2"/>
      <c r="F1" s="2"/>
      <c r="G1" s="2"/>
      <c r="H1" s="2"/>
      <c r="I1" s="2"/>
      <c r="J1" s="2"/>
      <c r="K1" s="2"/>
      <c r="L1" s="2"/>
      <c r="M1" s="2"/>
      <c r="N1" s="2"/>
      <c r="O1" s="2"/>
      <c r="P1" s="2"/>
      <c r="Q1" s="2"/>
      <c r="R1" s="2"/>
    </row>
    <row r="2" spans="1:18" x14ac:dyDescent="0.45">
      <c r="A2" s="2" t="str">
        <f>"(In "&amp;C10&amp;" Millions Except Per Share Data)"</f>
        <v>(In  Millions Except Per Share Data)</v>
      </c>
      <c r="B2" s="2"/>
      <c r="C2" s="2"/>
      <c r="D2" s="2"/>
      <c r="E2" s="2"/>
      <c r="F2" s="2"/>
      <c r="G2" s="2"/>
      <c r="H2" s="2"/>
      <c r="I2" s="2"/>
      <c r="J2" s="2"/>
      <c r="K2" s="2"/>
      <c r="L2" s="2"/>
      <c r="M2" s="2"/>
      <c r="N2" s="2"/>
      <c r="O2" s="2"/>
      <c r="P2" s="2"/>
      <c r="Q2" s="2"/>
      <c r="R2" s="2"/>
    </row>
    <row r="3" spans="1:18" ht="17.399999999999999" thickBot="1" x14ac:dyDescent="0.5"/>
    <row r="4" spans="1:18" x14ac:dyDescent="0.45">
      <c r="A4" s="4" t="s">
        <v>2</v>
      </c>
      <c r="B4" s="5"/>
      <c r="C4" s="6"/>
    </row>
    <row r="5" spans="1:18" x14ac:dyDescent="0.45">
      <c r="A5" s="7" t="s">
        <v>3</v>
      </c>
      <c r="C5" s="8"/>
    </row>
    <row r="6" spans="1:18" x14ac:dyDescent="0.45">
      <c r="A6" s="7" t="s">
        <v>4</v>
      </c>
      <c r="C6" s="94"/>
    </row>
    <row r="7" spans="1:18" x14ac:dyDescent="0.45">
      <c r="A7" s="7" t="s">
        <v>116</v>
      </c>
      <c r="C7" s="12"/>
    </row>
    <row r="8" spans="1:18" x14ac:dyDescent="0.45">
      <c r="A8" s="7" t="s">
        <v>8</v>
      </c>
      <c r="C8" s="15"/>
    </row>
    <row r="9" spans="1:18" x14ac:dyDescent="0.45">
      <c r="A9" s="7" t="s">
        <v>16</v>
      </c>
      <c r="C9" s="15"/>
    </row>
    <row r="10" spans="1:18" x14ac:dyDescent="0.45">
      <c r="A10" s="7" t="s">
        <v>17</v>
      </c>
      <c r="C10" s="8"/>
    </row>
    <row r="11" spans="1:18" ht="17.399999999999999" thickBot="1" x14ac:dyDescent="0.5">
      <c r="A11" s="24" t="s">
        <v>18</v>
      </c>
      <c r="B11" s="17"/>
      <c r="C11" s="25"/>
    </row>
    <row r="13" spans="1:18" ht="17.399999999999999" thickBot="1" x14ac:dyDescent="0.5"/>
    <row r="14" spans="1:18" ht="17.399999999999999" thickBot="1" x14ac:dyDescent="0.5">
      <c r="A14" s="9" t="s">
        <v>19</v>
      </c>
      <c r="B14" s="10"/>
      <c r="C14" s="26" t="s">
        <v>20</v>
      </c>
      <c r="D14" s="26" t="s">
        <v>21</v>
      </c>
      <c r="E14" s="26" t="s">
        <v>22</v>
      </c>
      <c r="F14" s="11"/>
    </row>
    <row r="15" spans="1:18" x14ac:dyDescent="0.45">
      <c r="A15" s="7" t="s">
        <v>23</v>
      </c>
      <c r="C15" s="27"/>
      <c r="D15" s="27"/>
      <c r="E15" s="27"/>
      <c r="F15" s="28"/>
    </row>
    <row r="16" spans="1:18" x14ac:dyDescent="0.45">
      <c r="A16" s="7" t="s">
        <v>24</v>
      </c>
      <c r="C16" s="27"/>
      <c r="D16" s="27"/>
      <c r="E16" s="27"/>
      <c r="F16" s="29"/>
    </row>
    <row r="17" spans="1:15" x14ac:dyDescent="0.45">
      <c r="A17" s="7" t="s">
        <v>25</v>
      </c>
      <c r="C17" s="135" t="e">
        <f>C16+I45</f>
        <v>#DIV/0!</v>
      </c>
      <c r="D17" s="135"/>
      <c r="E17" s="135"/>
      <c r="F17" s="29"/>
    </row>
    <row r="18" spans="1:15" x14ac:dyDescent="0.45">
      <c r="A18" s="7" t="s">
        <v>26</v>
      </c>
      <c r="C18" s="135" t="e">
        <f>C15*C17</f>
        <v>#DIV/0!</v>
      </c>
      <c r="D18" s="135"/>
      <c r="E18" s="135"/>
      <c r="F18" s="30"/>
    </row>
    <row r="19" spans="1:15" x14ac:dyDescent="0.45">
      <c r="A19" s="7"/>
      <c r="C19" s="136" t="s">
        <v>144</v>
      </c>
      <c r="D19" s="136" t="s">
        <v>145</v>
      </c>
      <c r="E19" s="137" t="s">
        <v>146</v>
      </c>
      <c r="F19" s="138"/>
    </row>
    <row r="20" spans="1:15" x14ac:dyDescent="0.45">
      <c r="A20" s="33" t="s">
        <v>163</v>
      </c>
      <c r="C20" s="27"/>
      <c r="D20" s="27"/>
      <c r="E20" s="135"/>
      <c r="F20" s="30"/>
      <c r="H20" s="120">
        <v>2</v>
      </c>
      <c r="O20" s="3" t="s">
        <v>144</v>
      </c>
    </row>
    <row r="21" spans="1:15" x14ac:dyDescent="0.45">
      <c r="A21" s="33" t="s">
        <v>28</v>
      </c>
      <c r="E21" s="3" t="s">
        <v>165</v>
      </c>
      <c r="F21" s="138"/>
      <c r="H21" s="120"/>
      <c r="O21" s="3" t="s">
        <v>146</v>
      </c>
    </row>
    <row r="22" spans="1:15" x14ac:dyDescent="0.45">
      <c r="A22" s="33"/>
      <c r="B22" s="3" t="s">
        <v>149</v>
      </c>
      <c r="E22" s="27"/>
      <c r="F22" s="29"/>
      <c r="H22" s="120"/>
    </row>
    <row r="23" spans="1:15" x14ac:dyDescent="0.45">
      <c r="A23" s="7"/>
      <c r="B23" s="36" t="s">
        <v>150</v>
      </c>
      <c r="E23" s="135"/>
      <c r="F23" s="30"/>
      <c r="H23" s="120"/>
      <c r="O23" s="3" t="s">
        <v>147</v>
      </c>
    </row>
    <row r="24" spans="1:15" x14ac:dyDescent="0.45">
      <c r="A24" s="33" t="s">
        <v>29</v>
      </c>
      <c r="E24" s="3" t="s">
        <v>164</v>
      </c>
      <c r="F24" s="138"/>
      <c r="H24" s="120"/>
      <c r="O24" s="3" t="s">
        <v>148</v>
      </c>
    </row>
    <row r="25" spans="1:15" ht="15" customHeight="1" x14ac:dyDescent="0.45">
      <c r="A25" s="7"/>
      <c r="B25" s="36" t="s">
        <v>166</v>
      </c>
      <c r="E25" s="35"/>
      <c r="F25" s="29"/>
      <c r="H25" s="120"/>
    </row>
    <row r="26" spans="1:15" ht="15" customHeight="1" x14ac:dyDescent="0.45">
      <c r="A26" s="7"/>
      <c r="B26" s="36" t="s">
        <v>153</v>
      </c>
      <c r="C26" s="36"/>
      <c r="E26" s="135"/>
      <c r="F26" s="30"/>
      <c r="H26" s="120"/>
      <c r="O26" s="3" t="s">
        <v>151</v>
      </c>
    </row>
    <row r="27" spans="1:15" x14ac:dyDescent="0.45">
      <c r="A27" s="33" t="s">
        <v>34</v>
      </c>
      <c r="E27" s="31"/>
      <c r="F27" s="29"/>
      <c r="O27" s="3" t="s">
        <v>152</v>
      </c>
    </row>
    <row r="28" spans="1:15" ht="15" customHeight="1" x14ac:dyDescent="0.45">
      <c r="A28" s="33"/>
      <c r="B28" s="3" t="s">
        <v>35</v>
      </c>
      <c r="E28" s="31"/>
      <c r="F28" s="32"/>
      <c r="G28" s="3" t="s">
        <v>204</v>
      </c>
      <c r="I28" s="3" t="s">
        <v>205</v>
      </c>
      <c r="J28" s="3" t="s">
        <v>206</v>
      </c>
    </row>
    <row r="29" spans="1:15" x14ac:dyDescent="0.45">
      <c r="A29" s="7"/>
      <c r="B29" s="3" t="s">
        <v>36</v>
      </c>
      <c r="E29" s="31"/>
      <c r="F29" s="32"/>
      <c r="G29" s="3" t="s">
        <v>207</v>
      </c>
      <c r="H29" s="120"/>
      <c r="O29" s="3" t="s">
        <v>157</v>
      </c>
    </row>
    <row r="30" spans="1:15" x14ac:dyDescent="0.45">
      <c r="A30" s="33" t="s">
        <v>37</v>
      </c>
      <c r="E30" s="31"/>
      <c r="F30" s="32"/>
      <c r="O30" s="3" t="s">
        <v>158</v>
      </c>
    </row>
    <row r="31" spans="1:15" x14ac:dyDescent="0.45">
      <c r="A31" s="33" t="s">
        <v>137</v>
      </c>
      <c r="E31" s="31"/>
      <c r="F31" s="32"/>
    </row>
    <row r="32" spans="1:15" ht="17.399999999999999" thickBot="1" x14ac:dyDescent="0.5">
      <c r="A32" s="46" t="s">
        <v>19</v>
      </c>
      <c r="B32" s="47"/>
      <c r="C32" s="47"/>
      <c r="D32" s="48"/>
      <c r="E32" s="48"/>
      <c r="F32" s="139"/>
    </row>
    <row r="33" spans="1:18" ht="15" customHeight="1" x14ac:dyDescent="0.45">
      <c r="A33" s="3" t="s">
        <v>39</v>
      </c>
      <c r="F33" s="140"/>
    </row>
    <row r="34" spans="1:18" ht="17.399999999999999" thickBot="1" x14ac:dyDescent="0.5">
      <c r="H34" s="51"/>
      <c r="I34" s="51"/>
      <c r="J34" s="51"/>
    </row>
    <row r="35" spans="1:18" ht="17.399999999999999" thickBot="1" x14ac:dyDescent="0.5">
      <c r="A35" s="9" t="s">
        <v>1</v>
      </c>
      <c r="B35" s="10"/>
      <c r="C35" s="10"/>
      <c r="D35" s="10"/>
      <c r="E35" s="10"/>
      <c r="F35" s="10"/>
      <c r="G35" s="10"/>
      <c r="H35" s="10"/>
      <c r="I35" s="11"/>
      <c r="J35" s="51"/>
      <c r="K35" s="51"/>
      <c r="L35" s="51"/>
      <c r="M35" s="51"/>
      <c r="N35" s="51"/>
      <c r="O35" s="51"/>
      <c r="P35" s="51"/>
    </row>
    <row r="36" spans="1:18" ht="17.399999999999999" thickBot="1" x14ac:dyDescent="0.5">
      <c r="H36" s="51"/>
      <c r="I36" s="51"/>
      <c r="J36" s="51"/>
      <c r="K36" s="51"/>
      <c r="L36" s="51"/>
      <c r="M36" s="51"/>
      <c r="N36" s="51"/>
      <c r="O36" s="51"/>
      <c r="P36" s="51"/>
      <c r="Q36" s="51"/>
      <c r="R36" s="51"/>
    </row>
    <row r="37" spans="1:18" x14ac:dyDescent="0.45">
      <c r="B37" s="192" t="s">
        <v>138</v>
      </c>
      <c r="C37" s="193"/>
      <c r="D37" s="193"/>
      <c r="E37" s="193"/>
      <c r="F37" s="193"/>
      <c r="G37" s="193"/>
      <c r="H37" s="193"/>
      <c r="I37" s="194"/>
      <c r="K37" s="51"/>
      <c r="L37" s="51"/>
      <c r="M37" s="51"/>
      <c r="N37" s="51"/>
      <c r="O37" s="51"/>
      <c r="P37" s="51"/>
      <c r="Q37" s="51"/>
      <c r="R37" s="51"/>
    </row>
    <row r="38" spans="1:18" ht="16.05" customHeight="1" x14ac:dyDescent="0.45">
      <c r="B38" s="161"/>
      <c r="C38" s="195" t="s">
        <v>89</v>
      </c>
      <c r="D38" s="162" t="s">
        <v>5</v>
      </c>
      <c r="E38" s="163"/>
      <c r="F38" s="197" t="s">
        <v>6</v>
      </c>
      <c r="G38" s="197"/>
      <c r="H38" s="197"/>
      <c r="I38" s="164" t="s">
        <v>7</v>
      </c>
      <c r="J38" s="51"/>
      <c r="K38" s="51"/>
      <c r="L38" s="51"/>
      <c r="M38" s="51"/>
      <c r="N38" s="51"/>
      <c r="O38" s="51"/>
      <c r="P38" s="51"/>
      <c r="Q38" s="51"/>
      <c r="R38" s="51"/>
    </row>
    <row r="39" spans="1:18" x14ac:dyDescent="0.45">
      <c r="B39" s="165"/>
      <c r="C39" s="196"/>
      <c r="D39" s="158" t="s">
        <v>10</v>
      </c>
      <c r="E39" s="158" t="s">
        <v>11</v>
      </c>
      <c r="F39" s="158" t="s">
        <v>12</v>
      </c>
      <c r="G39" s="160" t="s">
        <v>13</v>
      </c>
      <c r="H39" s="160" t="s">
        <v>14</v>
      </c>
      <c r="I39" s="166" t="s">
        <v>15</v>
      </c>
      <c r="J39" s="51"/>
      <c r="K39" s="51"/>
      <c r="L39" s="51"/>
      <c r="M39" s="51"/>
      <c r="N39" s="51"/>
      <c r="O39" s="51"/>
      <c r="P39" s="51"/>
      <c r="Q39" s="51"/>
      <c r="R39" s="51"/>
    </row>
    <row r="40" spans="1:18" x14ac:dyDescent="0.45">
      <c r="B40" s="165" t="s">
        <v>199</v>
      </c>
      <c r="C40" s="128"/>
      <c r="D40" s="128"/>
      <c r="E40" s="141"/>
      <c r="F40" s="128">
        <f>IF(E40="INTM",C40,0)</f>
        <v>0</v>
      </c>
      <c r="G40" s="170">
        <f>F40*D40</f>
        <v>0</v>
      </c>
      <c r="H40" s="171" t="e">
        <f>G40/$C$15</f>
        <v>#DIV/0!</v>
      </c>
      <c r="I40" s="172" t="e">
        <f>F40-H40</f>
        <v>#DIV/0!</v>
      </c>
      <c r="J40" s="51"/>
      <c r="K40" s="51"/>
      <c r="L40" s="51"/>
      <c r="M40" s="51"/>
      <c r="N40" s="51"/>
      <c r="O40" s="51"/>
      <c r="P40" s="51"/>
      <c r="Q40" s="51"/>
      <c r="R40" s="51"/>
    </row>
    <row r="41" spans="1:18" x14ac:dyDescent="0.45">
      <c r="B41" s="165" t="s">
        <v>200</v>
      </c>
      <c r="C41" s="128"/>
      <c r="D41" s="128"/>
      <c r="E41" s="141"/>
      <c r="F41" s="128">
        <f t="shared" ref="F41:F44" si="0">IF(E41="INTM",C41,0)</f>
        <v>0</v>
      </c>
      <c r="G41" s="170">
        <f t="shared" ref="G41:G44" si="1">F41*D41</f>
        <v>0</v>
      </c>
      <c r="H41" s="171" t="e">
        <f t="shared" ref="H41:H44" si="2">G41/$C$15</f>
        <v>#DIV/0!</v>
      </c>
      <c r="I41" s="172" t="e">
        <f t="shared" ref="I41:I44" si="3">F41-H41</f>
        <v>#DIV/0!</v>
      </c>
      <c r="J41" s="51"/>
      <c r="K41" s="51"/>
      <c r="L41" s="51"/>
      <c r="M41" s="51"/>
      <c r="N41" s="51"/>
      <c r="O41" s="51"/>
      <c r="P41" s="51"/>
      <c r="Q41" s="51"/>
      <c r="R41" s="51"/>
    </row>
    <row r="42" spans="1:18" x14ac:dyDescent="0.45">
      <c r="B42" s="165" t="s">
        <v>201</v>
      </c>
      <c r="C42" s="128"/>
      <c r="D42" s="128"/>
      <c r="E42" s="141"/>
      <c r="F42" s="128">
        <f t="shared" si="0"/>
        <v>0</v>
      </c>
      <c r="G42" s="170">
        <f t="shared" si="1"/>
        <v>0</v>
      </c>
      <c r="H42" s="171" t="e">
        <f t="shared" si="2"/>
        <v>#DIV/0!</v>
      </c>
      <c r="I42" s="172" t="e">
        <f t="shared" si="3"/>
        <v>#DIV/0!</v>
      </c>
      <c r="J42" s="51"/>
      <c r="K42" s="51"/>
      <c r="L42" s="51"/>
      <c r="M42" s="51"/>
      <c r="N42" s="51"/>
      <c r="O42" s="51"/>
      <c r="P42" s="51"/>
      <c r="Q42" s="51"/>
      <c r="R42" s="51"/>
    </row>
    <row r="43" spans="1:18" x14ac:dyDescent="0.45">
      <c r="B43" s="165" t="s">
        <v>202</v>
      </c>
      <c r="C43" s="128"/>
      <c r="D43" s="128"/>
      <c r="E43" s="141"/>
      <c r="F43" s="128">
        <f t="shared" si="0"/>
        <v>0</v>
      </c>
      <c r="G43" s="170">
        <f t="shared" si="1"/>
        <v>0</v>
      </c>
      <c r="H43" s="171" t="e">
        <f t="shared" si="2"/>
        <v>#DIV/0!</v>
      </c>
      <c r="I43" s="172" t="e">
        <f t="shared" si="3"/>
        <v>#DIV/0!</v>
      </c>
      <c r="J43" s="51"/>
      <c r="K43" s="51"/>
      <c r="L43" s="51"/>
      <c r="M43" s="51"/>
      <c r="N43" s="51"/>
      <c r="O43" s="51"/>
      <c r="P43" s="51"/>
      <c r="Q43" s="51"/>
      <c r="R43" s="51"/>
    </row>
    <row r="44" spans="1:18" x14ac:dyDescent="0.45">
      <c r="B44" s="165" t="s">
        <v>203</v>
      </c>
      <c r="C44" s="159"/>
      <c r="D44" s="159"/>
      <c r="E44" s="159"/>
      <c r="F44" s="128">
        <f t="shared" si="0"/>
        <v>0</v>
      </c>
      <c r="G44" s="170">
        <f t="shared" si="1"/>
        <v>0</v>
      </c>
      <c r="H44" s="171" t="e">
        <f t="shared" si="2"/>
        <v>#DIV/0!</v>
      </c>
      <c r="I44" s="172" t="e">
        <f t="shared" si="3"/>
        <v>#DIV/0!</v>
      </c>
      <c r="J44" s="51"/>
      <c r="K44" s="51"/>
      <c r="L44" s="51"/>
      <c r="M44" s="51"/>
      <c r="N44" s="51"/>
      <c r="O44" s="51"/>
      <c r="P44" s="51"/>
      <c r="Q44" s="51"/>
      <c r="R44" s="51"/>
    </row>
    <row r="45" spans="1:18" x14ac:dyDescent="0.45">
      <c r="B45" s="167"/>
      <c r="C45" s="168"/>
      <c r="D45" s="168"/>
      <c r="E45" s="168"/>
      <c r="F45" s="168"/>
      <c r="G45" s="168"/>
      <c r="H45" s="168"/>
      <c r="I45" s="173" t="e">
        <f>SUM(I40:I44)</f>
        <v>#DIV/0!</v>
      </c>
      <c r="J45" s="51"/>
      <c r="K45" s="51"/>
      <c r="L45" s="51"/>
      <c r="M45" s="51"/>
      <c r="N45" s="51"/>
      <c r="O45" s="51"/>
      <c r="P45" s="51"/>
      <c r="Q45" s="51"/>
      <c r="R45" s="51"/>
    </row>
    <row r="46" spans="1:18" ht="17.399999999999999" thickBot="1" x14ac:dyDescent="0.5">
      <c r="H46" s="51"/>
      <c r="I46" s="51"/>
      <c r="J46" s="51"/>
      <c r="K46" s="51"/>
      <c r="L46" s="51"/>
      <c r="M46" s="51"/>
      <c r="N46" s="51"/>
      <c r="O46" s="51"/>
      <c r="P46" s="51"/>
      <c r="Q46" s="51"/>
      <c r="R46" s="51"/>
    </row>
    <row r="47" spans="1:18" ht="17.399999999999999" thickBot="1" x14ac:dyDescent="0.5">
      <c r="B47" s="9" t="s">
        <v>136</v>
      </c>
      <c r="C47" s="11"/>
      <c r="H47" s="51"/>
      <c r="I47" s="51"/>
      <c r="K47" s="51"/>
      <c r="L47" s="51"/>
      <c r="M47" s="51"/>
      <c r="N47" s="51"/>
      <c r="O47" s="51"/>
      <c r="P47" s="51"/>
      <c r="Q47" s="51"/>
      <c r="R47" s="51"/>
    </row>
    <row r="48" spans="1:18" x14ac:dyDescent="0.45">
      <c r="B48" s="39" t="s">
        <v>32</v>
      </c>
      <c r="C48" s="134"/>
      <c r="D48" s="40"/>
      <c r="E48" s="133"/>
      <c r="F48" s="41"/>
      <c r="H48" s="51"/>
      <c r="I48" s="51"/>
      <c r="K48" s="51"/>
      <c r="L48" s="51"/>
      <c r="M48" s="51"/>
      <c r="N48" s="51"/>
      <c r="O48" s="51"/>
      <c r="P48" s="51"/>
      <c r="Q48" s="51"/>
      <c r="R48" s="51"/>
    </row>
    <row r="49" spans="1:18" x14ac:dyDescent="0.45">
      <c r="B49" s="7"/>
      <c r="C49" s="118"/>
      <c r="D49" s="116"/>
      <c r="E49" s="117"/>
      <c r="F49" s="117"/>
      <c r="H49" s="51"/>
      <c r="I49" s="51"/>
      <c r="K49" s="51"/>
      <c r="L49" s="51"/>
      <c r="M49" s="51"/>
      <c r="N49" s="51"/>
      <c r="O49" s="51"/>
      <c r="P49" s="51"/>
      <c r="Q49" s="51"/>
      <c r="R49" s="51"/>
    </row>
    <row r="50" spans="1:18" x14ac:dyDescent="0.45">
      <c r="B50" s="7"/>
      <c r="C50" s="118"/>
      <c r="D50" s="116"/>
      <c r="E50" s="117"/>
      <c r="F50" s="117"/>
      <c r="H50" s="51"/>
      <c r="I50" s="51"/>
      <c r="K50" s="51"/>
      <c r="L50" s="51"/>
      <c r="M50" s="51"/>
      <c r="N50" s="51"/>
      <c r="O50" s="51"/>
      <c r="P50" s="51"/>
      <c r="Q50" s="51"/>
      <c r="R50" s="51"/>
    </row>
    <row r="51" spans="1:18" x14ac:dyDescent="0.45">
      <c r="B51" s="7"/>
      <c r="C51" s="118"/>
      <c r="D51" s="116"/>
      <c r="E51" s="117"/>
      <c r="F51" s="117"/>
      <c r="H51" s="51"/>
      <c r="I51" s="51"/>
      <c r="K51" s="51"/>
      <c r="L51" s="51"/>
      <c r="M51" s="51"/>
      <c r="N51" s="51"/>
      <c r="O51" s="51"/>
      <c r="P51" s="51"/>
      <c r="Q51" s="51"/>
      <c r="R51" s="51"/>
    </row>
    <row r="52" spans="1:18" x14ac:dyDescent="0.45">
      <c r="B52" s="7"/>
      <c r="C52" s="118"/>
      <c r="D52" s="116"/>
      <c r="E52" s="117"/>
      <c r="F52" s="117"/>
      <c r="H52" s="51"/>
      <c r="I52" s="51"/>
      <c r="K52" s="51"/>
      <c r="L52" s="51"/>
      <c r="M52" s="51"/>
      <c r="N52" s="51"/>
      <c r="O52" s="51"/>
      <c r="P52" s="51"/>
      <c r="Q52" s="51"/>
      <c r="R52" s="51"/>
    </row>
    <row r="53" spans="1:18" ht="17.399999999999999" thickBot="1" x14ac:dyDescent="0.5">
      <c r="B53" s="24"/>
      <c r="C53" s="45"/>
      <c r="D53" s="116"/>
      <c r="E53" s="116"/>
      <c r="F53" s="117"/>
      <c r="H53" s="51"/>
      <c r="I53" s="51"/>
      <c r="K53" s="51"/>
      <c r="L53" s="51"/>
      <c r="M53" s="51"/>
      <c r="N53" s="51"/>
      <c r="O53" s="51"/>
      <c r="P53" s="51"/>
      <c r="Q53" s="51"/>
      <c r="R53" s="51"/>
    </row>
    <row r="54" spans="1:18" ht="17.399999999999999" thickBot="1" x14ac:dyDescent="0.5">
      <c r="H54" s="51"/>
      <c r="I54" s="51"/>
      <c r="K54" s="51"/>
      <c r="L54" s="51"/>
      <c r="M54" s="51"/>
      <c r="N54" s="51"/>
      <c r="O54" s="51"/>
      <c r="P54" s="51"/>
      <c r="Q54" s="51"/>
      <c r="R54" s="51"/>
    </row>
    <row r="55" spans="1:18" ht="17.399999999999999" thickBot="1" x14ac:dyDescent="0.5">
      <c r="B55" s="9" t="s">
        <v>154</v>
      </c>
      <c r="C55" s="10"/>
      <c r="D55" s="10"/>
      <c r="E55" s="10"/>
      <c r="F55" s="11"/>
      <c r="H55" s="51"/>
      <c r="I55" s="51"/>
      <c r="K55" s="51"/>
      <c r="L55" s="51"/>
      <c r="M55" s="51"/>
      <c r="N55" s="51"/>
      <c r="O55" s="51"/>
      <c r="P55" s="51"/>
      <c r="Q55" s="51"/>
      <c r="R55" s="51"/>
    </row>
    <row r="56" spans="1:18" ht="16.05" customHeight="1" x14ac:dyDescent="0.45">
      <c r="B56" s="37"/>
      <c r="C56" s="38"/>
      <c r="D56" s="38"/>
      <c r="E56" s="180" t="s">
        <v>30</v>
      </c>
      <c r="F56" s="182" t="s">
        <v>31</v>
      </c>
      <c r="H56" s="51"/>
      <c r="I56" s="51"/>
      <c r="K56" s="51"/>
      <c r="L56" s="51"/>
      <c r="M56" s="51"/>
      <c r="N56" s="51"/>
      <c r="O56" s="51"/>
      <c r="P56" s="51"/>
      <c r="Q56" s="51"/>
      <c r="R56" s="51"/>
    </row>
    <row r="57" spans="1:18" x14ac:dyDescent="0.45">
      <c r="B57" s="39" t="s">
        <v>32</v>
      </c>
      <c r="C57" s="40" t="s">
        <v>33</v>
      </c>
      <c r="D57" s="40" t="s">
        <v>155</v>
      </c>
      <c r="E57" s="181"/>
      <c r="F57" s="183"/>
      <c r="H57" s="51"/>
      <c r="I57" s="51"/>
      <c r="K57" s="51"/>
      <c r="L57" s="51"/>
      <c r="M57" s="51"/>
      <c r="N57" s="51"/>
      <c r="O57" s="51"/>
      <c r="P57" s="51"/>
      <c r="Q57" s="51"/>
      <c r="R57" s="51"/>
    </row>
    <row r="58" spans="1:18" x14ac:dyDescent="0.45">
      <c r="B58" s="7"/>
      <c r="C58" s="27"/>
      <c r="D58" s="27"/>
      <c r="E58" s="42"/>
      <c r="F58" s="43"/>
      <c r="H58" s="51"/>
      <c r="I58" s="51"/>
      <c r="K58" s="51"/>
      <c r="L58" s="51"/>
      <c r="M58" s="51"/>
      <c r="N58" s="51"/>
      <c r="O58" s="51"/>
      <c r="P58" s="51"/>
      <c r="Q58" s="51"/>
      <c r="R58" s="51"/>
    </row>
    <row r="59" spans="1:18" x14ac:dyDescent="0.45">
      <c r="B59" s="7"/>
      <c r="C59" s="27"/>
      <c r="D59" s="27"/>
      <c r="E59" s="42"/>
      <c r="F59" s="43"/>
      <c r="H59" s="51"/>
      <c r="I59" s="51"/>
      <c r="K59" s="51"/>
      <c r="L59" s="51"/>
      <c r="M59" s="51"/>
      <c r="N59" s="51"/>
      <c r="O59" s="51"/>
      <c r="P59" s="51"/>
      <c r="Q59" s="51"/>
      <c r="R59" s="51"/>
    </row>
    <row r="60" spans="1:18" ht="17.399999999999999" thickBot="1" x14ac:dyDescent="0.5">
      <c r="B60" s="24"/>
      <c r="C60" s="44"/>
      <c r="D60" s="44"/>
      <c r="E60" s="44"/>
      <c r="F60" s="45"/>
      <c r="H60" s="51"/>
      <c r="I60" s="51"/>
      <c r="K60" s="51"/>
      <c r="L60" s="51"/>
      <c r="M60" s="51"/>
      <c r="N60" s="51"/>
      <c r="O60" s="51"/>
      <c r="P60" s="51"/>
      <c r="Q60" s="51"/>
      <c r="R60" s="51"/>
    </row>
    <row r="61" spans="1:18" x14ac:dyDescent="0.45">
      <c r="H61" s="51"/>
      <c r="I61" s="51"/>
      <c r="J61" s="51"/>
      <c r="K61" s="51"/>
      <c r="L61" s="51"/>
      <c r="M61" s="51"/>
      <c r="N61" s="51"/>
      <c r="O61" s="51"/>
      <c r="P61" s="51"/>
      <c r="Q61" s="51"/>
      <c r="R61" s="51"/>
    </row>
    <row r="62" spans="1:18" x14ac:dyDescent="0.45">
      <c r="I62" s="190" t="s">
        <v>139</v>
      </c>
      <c r="J62" s="190"/>
      <c r="K62" s="190"/>
      <c r="L62" s="191" t="s">
        <v>140</v>
      </c>
      <c r="M62" s="191"/>
    </row>
    <row r="63" spans="1:18" ht="16.05" customHeight="1" x14ac:dyDescent="0.45">
      <c r="A63" s="2" t="s">
        <v>40</v>
      </c>
      <c r="B63" s="2"/>
      <c r="C63" s="2"/>
      <c r="D63" s="2"/>
      <c r="E63" s="52" t="s">
        <v>41</v>
      </c>
      <c r="F63" s="52" t="s">
        <v>42</v>
      </c>
      <c r="G63" s="52" t="s">
        <v>43</v>
      </c>
      <c r="H63" s="52" t="s">
        <v>44</v>
      </c>
      <c r="I63" s="53" t="s">
        <v>45</v>
      </c>
      <c r="J63" s="53" t="s">
        <v>46</v>
      </c>
      <c r="K63" s="53" t="s">
        <v>47</v>
      </c>
      <c r="L63" s="53" t="s">
        <v>45</v>
      </c>
      <c r="M63" s="53" t="s">
        <v>46</v>
      </c>
      <c r="O63" s="120" t="s">
        <v>156</v>
      </c>
    </row>
    <row r="64" spans="1:18" x14ac:dyDescent="0.45">
      <c r="E64" s="120" t="s">
        <v>48</v>
      </c>
      <c r="F64" s="122">
        <f>YEARFRAC(C8,C9)*12</f>
        <v>0</v>
      </c>
      <c r="G64" s="122">
        <f>F64</f>
        <v>0</v>
      </c>
      <c r="H64" s="121">
        <f>C9</f>
        <v>0</v>
      </c>
      <c r="I64" s="125">
        <v>45291</v>
      </c>
      <c r="J64" s="125">
        <f>EDATE(I64,12)</f>
        <v>45657</v>
      </c>
      <c r="K64" s="125">
        <f>EDATE(J64,12)</f>
        <v>46022</v>
      </c>
      <c r="L64" s="126">
        <v>45291</v>
      </c>
      <c r="M64" s="127">
        <f>EDATE(L64,12)</f>
        <v>45657</v>
      </c>
    </row>
    <row r="65" spans="1:20" x14ac:dyDescent="0.45">
      <c r="A65" s="3" t="s">
        <v>49</v>
      </c>
      <c r="E65" s="27"/>
      <c r="F65" s="27"/>
      <c r="G65" s="54"/>
      <c r="H65" s="55"/>
      <c r="I65" s="27"/>
      <c r="J65" s="27"/>
      <c r="K65" s="27"/>
      <c r="L65" s="55">
        <f>I65*(1-YEARFRAC(I$64,L$64))+J65*YEARFRAC(I$64,L$64)</f>
        <v>0</v>
      </c>
      <c r="M65" s="55">
        <f>J65*(1-YEARFRAC(J$64,M$64))+K65*YEARFRAC(J$64,M$64)</f>
        <v>0</v>
      </c>
      <c r="O65" s="145">
        <f>IFERROR((K65/E65)^(1/3)-1,0)</f>
        <v>0</v>
      </c>
      <c r="T65" s="123"/>
    </row>
    <row r="66" spans="1:20" ht="5.25" customHeight="1" x14ac:dyDescent="0.45">
      <c r="E66" s="31"/>
      <c r="F66" s="31"/>
      <c r="G66" s="31"/>
      <c r="H66" s="31"/>
    </row>
    <row r="67" spans="1:20" x14ac:dyDescent="0.45">
      <c r="A67" s="3" t="s">
        <v>50</v>
      </c>
      <c r="E67" s="27"/>
      <c r="F67" s="27"/>
      <c r="G67" s="27"/>
      <c r="H67" s="55"/>
      <c r="L67" s="57"/>
      <c r="M67" s="57"/>
      <c r="T67" s="57"/>
    </row>
    <row r="68" spans="1:20" s="49" customFormat="1" x14ac:dyDescent="0.45">
      <c r="A68" s="3" t="s">
        <v>51</v>
      </c>
      <c r="E68" s="27"/>
      <c r="F68" s="27"/>
      <c r="G68" s="27"/>
      <c r="H68" s="50"/>
      <c r="L68" s="124"/>
    </row>
    <row r="69" spans="1:20" s="49" customFormat="1" x14ac:dyDescent="0.45">
      <c r="A69" s="56" t="s">
        <v>52</v>
      </c>
      <c r="E69" s="142"/>
      <c r="F69" s="142"/>
      <c r="G69" s="142"/>
      <c r="H69" s="55"/>
      <c r="I69" s="27"/>
      <c r="J69" s="27"/>
      <c r="K69" s="27"/>
      <c r="L69" s="55">
        <f>I69*(1-YEARFRAC(I$64,L$64))+J69*YEARFRAC(I$64,L$64)</f>
        <v>0</v>
      </c>
      <c r="M69" s="55">
        <f>J69*(1-YEARFRAC(J$64,M$64))+K69*YEARFRAC(J$64,M$64)</f>
        <v>0</v>
      </c>
      <c r="O69" s="145">
        <f>IFERROR((K69/E69)^(1/3)-1,0)</f>
        <v>0</v>
      </c>
    </row>
    <row r="70" spans="1:20" x14ac:dyDescent="0.45">
      <c r="A70" s="3" t="s">
        <v>53</v>
      </c>
      <c r="E70" s="27"/>
      <c r="F70" s="27"/>
      <c r="G70" s="27"/>
      <c r="H70" s="31"/>
    </row>
    <row r="71" spans="1:20" s="49" customFormat="1" x14ac:dyDescent="0.45">
      <c r="A71" s="49" t="s">
        <v>54</v>
      </c>
      <c r="E71" s="142"/>
      <c r="F71" s="142"/>
      <c r="G71" s="142"/>
      <c r="H71" s="55"/>
      <c r="I71" s="27"/>
      <c r="J71" s="27"/>
      <c r="K71" s="27"/>
      <c r="L71" s="55">
        <f>I71*(1-YEARFRAC(I$64,L$64))+J71*YEARFRAC(I$64,L$64)</f>
        <v>0</v>
      </c>
      <c r="M71" s="55">
        <f>J71*(1-YEARFRAC(J$64,M$64))+K71*YEARFRAC(J$64,M$64)</f>
        <v>0</v>
      </c>
      <c r="O71" s="145">
        <f>IFERROR((K71/E71)^(1/3)-1,0)</f>
        <v>0</v>
      </c>
    </row>
    <row r="72" spans="1:20" ht="6" customHeight="1" x14ac:dyDescent="0.45">
      <c r="E72" s="31"/>
      <c r="F72" s="31"/>
      <c r="G72" s="31"/>
      <c r="H72" s="31"/>
    </row>
    <row r="73" spans="1:20" x14ac:dyDescent="0.45">
      <c r="A73" s="3" t="s">
        <v>167</v>
      </c>
      <c r="E73" s="27"/>
      <c r="F73" s="27"/>
      <c r="G73" s="27"/>
      <c r="H73" s="55"/>
    </row>
    <row r="74" spans="1:20" x14ac:dyDescent="0.45">
      <c r="A74" s="3" t="s">
        <v>55</v>
      </c>
      <c r="E74" s="135"/>
      <c r="F74" s="135"/>
      <c r="G74" s="135"/>
    </row>
    <row r="75" spans="1:20" x14ac:dyDescent="0.45">
      <c r="A75" s="3" t="s">
        <v>56</v>
      </c>
      <c r="E75" s="27"/>
      <c r="F75" s="27"/>
      <c r="G75" s="27"/>
    </row>
    <row r="76" spans="1:20" x14ac:dyDescent="0.45">
      <c r="A76" s="3" t="s">
        <v>57</v>
      </c>
      <c r="E76" s="135"/>
      <c r="F76" s="135"/>
      <c r="G76" s="135"/>
    </row>
    <row r="77" spans="1:20" s="49" customFormat="1" x14ac:dyDescent="0.45">
      <c r="A77" s="49" t="s">
        <v>120</v>
      </c>
      <c r="E77" s="143"/>
      <c r="F77" s="143"/>
      <c r="G77" s="143"/>
      <c r="H77" s="55"/>
      <c r="I77" s="27"/>
      <c r="J77" s="27"/>
      <c r="K77" s="27"/>
      <c r="L77" s="55">
        <f>I77*(1-YEARFRAC(I$64,L$64))+J77*YEARFRAC(I$64,L$64)</f>
        <v>0</v>
      </c>
      <c r="M77" s="55">
        <f>J77*(1-YEARFRAC(J$64,M$64))+K77*YEARFRAC(J$64,M$64)</f>
        <v>0</v>
      </c>
      <c r="O77" s="145">
        <f>IFERROR((K77/E77)^(1/3)-1,0)</f>
        <v>0</v>
      </c>
    </row>
    <row r="78" spans="1:20" x14ac:dyDescent="0.45">
      <c r="E78" s="31"/>
      <c r="F78" s="31"/>
      <c r="G78" s="31"/>
      <c r="H78" s="31"/>
    </row>
    <row r="79" spans="1:20" x14ac:dyDescent="0.45">
      <c r="A79" s="3" t="s">
        <v>58</v>
      </c>
      <c r="E79" s="27"/>
      <c r="F79" s="27"/>
      <c r="G79" s="27"/>
      <c r="H79" s="31"/>
    </row>
    <row r="80" spans="1:20" x14ac:dyDescent="0.45">
      <c r="A80" s="3" t="s">
        <v>59</v>
      </c>
      <c r="E80" s="144"/>
      <c r="F80" s="144"/>
      <c r="G80" s="144"/>
      <c r="H80" s="58"/>
      <c r="I80" s="27"/>
      <c r="J80" s="27"/>
      <c r="K80" s="27"/>
      <c r="L80" s="55">
        <f>I80*(1-YEARFRAC(I$64,L$64))+J80*YEARFRAC(I$64,L$64)</f>
        <v>0</v>
      </c>
      <c r="M80" s="55">
        <f>J80*(1-YEARFRAC(J$64,M$64))+K80*YEARFRAC(J$64,M$64)</f>
        <v>0</v>
      </c>
      <c r="O80" s="145">
        <f>IFERROR((K80/E80)^(1/3)-1,0)</f>
        <v>0</v>
      </c>
    </row>
  </sheetData>
  <mergeCells count="7">
    <mergeCell ref="I62:K62"/>
    <mergeCell ref="L62:M62"/>
    <mergeCell ref="B37:I37"/>
    <mergeCell ref="C38:C39"/>
    <mergeCell ref="F38:H38"/>
    <mergeCell ref="E56:E57"/>
    <mergeCell ref="F56:F57"/>
  </mergeCells>
  <pageMargins left="0.7" right="0.7" top="0.75" bottom="0.75" header="0.3" footer="0.3"/>
  <pageSetup paperSize="9" orientation="portrait" horizontalDpi="300"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Drop Down 1">
              <controlPr defaultSize="0" autoLine="0" autoPict="0">
                <anchor moveWithCells="1">
                  <from>
                    <xdr:col>6</xdr:col>
                    <xdr:colOff>30480</xdr:colOff>
                    <xdr:row>19</xdr:row>
                    <xdr:rowOff>0</xdr:rowOff>
                  </from>
                  <to>
                    <xdr:col>7</xdr:col>
                    <xdr:colOff>144780</xdr:colOff>
                    <xdr:row>20</xdr:row>
                    <xdr:rowOff>7620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86"/>
  <sheetViews>
    <sheetView showGridLines="0" topLeftCell="A50" zoomScale="120" zoomScaleNormal="120" workbookViewId="0">
      <selection activeCell="A59" sqref="A59"/>
    </sheetView>
  </sheetViews>
  <sheetFormatPr defaultColWidth="11.44140625" defaultRowHeight="16.8" x14ac:dyDescent="0.45"/>
  <cols>
    <col min="1" max="1" width="3.21875" style="3" customWidth="1"/>
    <col min="2" max="2" width="33.77734375" style="3" customWidth="1"/>
    <col min="3" max="3" width="12.6640625" style="3" bestFit="1" customWidth="1"/>
    <col min="4" max="4" width="10.77734375" style="3" bestFit="1" customWidth="1"/>
    <col min="5" max="5" width="10.77734375" style="3" customWidth="1"/>
    <col min="6" max="7" width="11.21875" style="3" bestFit="1" customWidth="1"/>
    <col min="8" max="8" width="14" style="3" customWidth="1"/>
    <col min="9" max="9" width="13" style="3" customWidth="1"/>
    <col min="10" max="10" width="11.77734375" style="3" bestFit="1" customWidth="1"/>
    <col min="11" max="11" width="12" style="3" bestFit="1" customWidth="1"/>
    <col min="12" max="12" width="11.44140625" style="3"/>
    <col min="13" max="13" width="12" style="3" bestFit="1" customWidth="1"/>
    <col min="14" max="14" width="10.44140625" style="3" customWidth="1"/>
    <col min="15" max="15" width="11.77734375" style="3" bestFit="1" customWidth="1"/>
    <col min="16" max="16" width="11.21875" style="3" bestFit="1" customWidth="1"/>
    <col min="17" max="18" width="11.44140625" style="3"/>
    <col min="19" max="19" width="2.21875" style="3" customWidth="1"/>
    <col min="20" max="255" width="11.44140625" style="3"/>
    <col min="256" max="256" width="3.21875" style="3" customWidth="1"/>
    <col min="257" max="257" width="33.77734375" style="3" customWidth="1"/>
    <col min="258" max="258" width="11.44140625" style="3"/>
    <col min="259" max="259" width="10.77734375" style="3" bestFit="1" customWidth="1"/>
    <col min="260" max="260" width="10.77734375" style="3" customWidth="1"/>
    <col min="261" max="261" width="11.21875" style="3" bestFit="1" customWidth="1"/>
    <col min="262" max="262" width="11.44140625" style="3"/>
    <col min="263" max="263" width="12.44140625" style="3" customWidth="1"/>
    <col min="264" max="264" width="11.44140625" style="3"/>
    <col min="265" max="265" width="9.77734375" style="3" bestFit="1" customWidth="1"/>
    <col min="266" max="266" width="12" style="3" bestFit="1" customWidth="1"/>
    <col min="267" max="267" width="11.44140625" style="3"/>
    <col min="268" max="268" width="12" style="3" bestFit="1" customWidth="1"/>
    <col min="269" max="269" width="10.44140625" style="3" customWidth="1"/>
    <col min="270" max="270" width="11.77734375" style="3" bestFit="1" customWidth="1"/>
    <col min="271" max="271" width="11.21875" style="3" bestFit="1" customWidth="1"/>
    <col min="272" max="274" width="11.44140625" style="3"/>
    <col min="275" max="275" width="2.21875" style="3" customWidth="1"/>
    <col min="276" max="511" width="11.44140625" style="3"/>
    <col min="512" max="512" width="3.21875" style="3" customWidth="1"/>
    <col min="513" max="513" width="33.77734375" style="3" customWidth="1"/>
    <col min="514" max="514" width="11.44140625" style="3"/>
    <col min="515" max="515" width="10.77734375" style="3" bestFit="1" customWidth="1"/>
    <col min="516" max="516" width="10.77734375" style="3" customWidth="1"/>
    <col min="517" max="517" width="11.21875" style="3" bestFit="1" customWidth="1"/>
    <col min="518" max="518" width="11.44140625" style="3"/>
    <col min="519" max="519" width="12.44140625" style="3" customWidth="1"/>
    <col min="520" max="520" width="11.44140625" style="3"/>
    <col min="521" max="521" width="9.77734375" style="3" bestFit="1" customWidth="1"/>
    <col min="522" max="522" width="12" style="3" bestFit="1" customWidth="1"/>
    <col min="523" max="523" width="11.44140625" style="3"/>
    <col min="524" max="524" width="12" style="3" bestFit="1" customWidth="1"/>
    <col min="525" max="525" width="10.44140625" style="3" customWidth="1"/>
    <col min="526" max="526" width="11.77734375" style="3" bestFit="1" customWidth="1"/>
    <col min="527" max="527" width="11.21875" style="3" bestFit="1" customWidth="1"/>
    <col min="528" max="530" width="11.44140625" style="3"/>
    <col min="531" max="531" width="2.21875" style="3" customWidth="1"/>
    <col min="532" max="767" width="11.44140625" style="3"/>
    <col min="768" max="768" width="3.21875" style="3" customWidth="1"/>
    <col min="769" max="769" width="33.77734375" style="3" customWidth="1"/>
    <col min="770" max="770" width="11.44140625" style="3"/>
    <col min="771" max="771" width="10.77734375" style="3" bestFit="1" customWidth="1"/>
    <col min="772" max="772" width="10.77734375" style="3" customWidth="1"/>
    <col min="773" max="773" width="11.21875" style="3" bestFit="1" customWidth="1"/>
    <col min="774" max="774" width="11.44140625" style="3"/>
    <col min="775" max="775" width="12.44140625" style="3" customWidth="1"/>
    <col min="776" max="776" width="11.44140625" style="3"/>
    <col min="777" max="777" width="9.77734375" style="3" bestFit="1" customWidth="1"/>
    <col min="778" max="778" width="12" style="3" bestFit="1" customWidth="1"/>
    <col min="779" max="779" width="11.44140625" style="3"/>
    <col min="780" max="780" width="12" style="3" bestFit="1" customWidth="1"/>
    <col min="781" max="781" width="10.44140625" style="3" customWidth="1"/>
    <col min="782" max="782" width="11.77734375" style="3" bestFit="1" customWidth="1"/>
    <col min="783" max="783" width="11.21875" style="3" bestFit="1" customWidth="1"/>
    <col min="784" max="786" width="11.44140625" style="3"/>
    <col min="787" max="787" width="2.21875" style="3" customWidth="1"/>
    <col min="788" max="1023" width="11.44140625" style="3"/>
    <col min="1024" max="1024" width="3.21875" style="3" customWidth="1"/>
    <col min="1025" max="1025" width="33.77734375" style="3" customWidth="1"/>
    <col min="1026" max="1026" width="11.44140625" style="3"/>
    <col min="1027" max="1027" width="10.77734375" style="3" bestFit="1" customWidth="1"/>
    <col min="1028" max="1028" width="10.77734375" style="3" customWidth="1"/>
    <col min="1029" max="1029" width="11.21875" style="3" bestFit="1" customWidth="1"/>
    <col min="1030" max="1030" width="11.44140625" style="3"/>
    <col min="1031" max="1031" width="12.44140625" style="3" customWidth="1"/>
    <col min="1032" max="1032" width="11.44140625" style="3"/>
    <col min="1033" max="1033" width="9.77734375" style="3" bestFit="1" customWidth="1"/>
    <col min="1034" max="1034" width="12" style="3" bestFit="1" customWidth="1"/>
    <col min="1035" max="1035" width="11.44140625" style="3"/>
    <col min="1036" max="1036" width="12" style="3" bestFit="1" customWidth="1"/>
    <col min="1037" max="1037" width="10.44140625" style="3" customWidth="1"/>
    <col min="1038" max="1038" width="11.77734375" style="3" bestFit="1" customWidth="1"/>
    <col min="1039" max="1039" width="11.21875" style="3" bestFit="1" customWidth="1"/>
    <col min="1040" max="1042" width="11.44140625" style="3"/>
    <col min="1043" max="1043" width="2.21875" style="3" customWidth="1"/>
    <col min="1044" max="1279" width="11.44140625" style="3"/>
    <col min="1280" max="1280" width="3.21875" style="3" customWidth="1"/>
    <col min="1281" max="1281" width="33.77734375" style="3" customWidth="1"/>
    <col min="1282" max="1282" width="11.44140625" style="3"/>
    <col min="1283" max="1283" width="10.77734375" style="3" bestFit="1" customWidth="1"/>
    <col min="1284" max="1284" width="10.77734375" style="3" customWidth="1"/>
    <col min="1285" max="1285" width="11.21875" style="3" bestFit="1" customWidth="1"/>
    <col min="1286" max="1286" width="11.44140625" style="3"/>
    <col min="1287" max="1287" width="12.44140625" style="3" customWidth="1"/>
    <col min="1288" max="1288" width="11.44140625" style="3"/>
    <col min="1289" max="1289" width="9.77734375" style="3" bestFit="1" customWidth="1"/>
    <col min="1290" max="1290" width="12" style="3" bestFit="1" customWidth="1"/>
    <col min="1291" max="1291" width="11.44140625" style="3"/>
    <col min="1292" max="1292" width="12" style="3" bestFit="1" customWidth="1"/>
    <col min="1293" max="1293" width="10.44140625" style="3" customWidth="1"/>
    <col min="1294" max="1294" width="11.77734375" style="3" bestFit="1" customWidth="1"/>
    <col min="1295" max="1295" width="11.21875" style="3" bestFit="1" customWidth="1"/>
    <col min="1296" max="1298" width="11.44140625" style="3"/>
    <col min="1299" max="1299" width="2.21875" style="3" customWidth="1"/>
    <col min="1300" max="1535" width="11.44140625" style="3"/>
    <col min="1536" max="1536" width="3.21875" style="3" customWidth="1"/>
    <col min="1537" max="1537" width="33.77734375" style="3" customWidth="1"/>
    <col min="1538" max="1538" width="11.44140625" style="3"/>
    <col min="1539" max="1539" width="10.77734375" style="3" bestFit="1" customWidth="1"/>
    <col min="1540" max="1540" width="10.77734375" style="3" customWidth="1"/>
    <col min="1541" max="1541" width="11.21875" style="3" bestFit="1" customWidth="1"/>
    <col min="1542" max="1542" width="11.44140625" style="3"/>
    <col min="1543" max="1543" width="12.44140625" style="3" customWidth="1"/>
    <col min="1544" max="1544" width="11.44140625" style="3"/>
    <col min="1545" max="1545" width="9.77734375" style="3" bestFit="1" customWidth="1"/>
    <col min="1546" max="1546" width="12" style="3" bestFit="1" customWidth="1"/>
    <col min="1547" max="1547" width="11.44140625" style="3"/>
    <col min="1548" max="1548" width="12" style="3" bestFit="1" customWidth="1"/>
    <col min="1549" max="1549" width="10.44140625" style="3" customWidth="1"/>
    <col min="1550" max="1550" width="11.77734375" style="3" bestFit="1" customWidth="1"/>
    <col min="1551" max="1551" width="11.21875" style="3" bestFit="1" customWidth="1"/>
    <col min="1552" max="1554" width="11.44140625" style="3"/>
    <col min="1555" max="1555" width="2.21875" style="3" customWidth="1"/>
    <col min="1556" max="1791" width="11.44140625" style="3"/>
    <col min="1792" max="1792" width="3.21875" style="3" customWidth="1"/>
    <col min="1793" max="1793" width="33.77734375" style="3" customWidth="1"/>
    <col min="1794" max="1794" width="11.44140625" style="3"/>
    <col min="1795" max="1795" width="10.77734375" style="3" bestFit="1" customWidth="1"/>
    <col min="1796" max="1796" width="10.77734375" style="3" customWidth="1"/>
    <col min="1797" max="1797" width="11.21875" style="3" bestFit="1" customWidth="1"/>
    <col min="1798" max="1798" width="11.44140625" style="3"/>
    <col min="1799" max="1799" width="12.44140625" style="3" customWidth="1"/>
    <col min="1800" max="1800" width="11.44140625" style="3"/>
    <col min="1801" max="1801" width="9.77734375" style="3" bestFit="1" customWidth="1"/>
    <col min="1802" max="1802" width="12" style="3" bestFit="1" customWidth="1"/>
    <col min="1803" max="1803" width="11.44140625" style="3"/>
    <col min="1804" max="1804" width="12" style="3" bestFit="1" customWidth="1"/>
    <col min="1805" max="1805" width="10.44140625" style="3" customWidth="1"/>
    <col min="1806" max="1806" width="11.77734375" style="3" bestFit="1" customWidth="1"/>
    <col min="1807" max="1807" width="11.21875" style="3" bestFit="1" customWidth="1"/>
    <col min="1808" max="1810" width="11.44140625" style="3"/>
    <col min="1811" max="1811" width="2.21875" style="3" customWidth="1"/>
    <col min="1812" max="2047" width="11.44140625" style="3"/>
    <col min="2048" max="2048" width="3.21875" style="3" customWidth="1"/>
    <col min="2049" max="2049" width="33.77734375" style="3" customWidth="1"/>
    <col min="2050" max="2050" width="11.44140625" style="3"/>
    <col min="2051" max="2051" width="10.77734375" style="3" bestFit="1" customWidth="1"/>
    <col min="2052" max="2052" width="10.77734375" style="3" customWidth="1"/>
    <col min="2053" max="2053" width="11.21875" style="3" bestFit="1" customWidth="1"/>
    <col min="2054" max="2054" width="11.44140625" style="3"/>
    <col min="2055" max="2055" width="12.44140625" style="3" customWidth="1"/>
    <col min="2056" max="2056" width="11.44140625" style="3"/>
    <col min="2057" max="2057" width="9.77734375" style="3" bestFit="1" customWidth="1"/>
    <col min="2058" max="2058" width="12" style="3" bestFit="1" customWidth="1"/>
    <col min="2059" max="2059" width="11.44140625" style="3"/>
    <col min="2060" max="2060" width="12" style="3" bestFit="1" customWidth="1"/>
    <col min="2061" max="2061" width="10.44140625" style="3" customWidth="1"/>
    <col min="2062" max="2062" width="11.77734375" style="3" bestFit="1" customWidth="1"/>
    <col min="2063" max="2063" width="11.21875" style="3" bestFit="1" customWidth="1"/>
    <col min="2064" max="2066" width="11.44140625" style="3"/>
    <col min="2067" max="2067" width="2.21875" style="3" customWidth="1"/>
    <col min="2068" max="2303" width="11.44140625" style="3"/>
    <col min="2304" max="2304" width="3.21875" style="3" customWidth="1"/>
    <col min="2305" max="2305" width="33.77734375" style="3" customWidth="1"/>
    <col min="2306" max="2306" width="11.44140625" style="3"/>
    <col min="2307" max="2307" width="10.77734375" style="3" bestFit="1" customWidth="1"/>
    <col min="2308" max="2308" width="10.77734375" style="3" customWidth="1"/>
    <col min="2309" max="2309" width="11.21875" style="3" bestFit="1" customWidth="1"/>
    <col min="2310" max="2310" width="11.44140625" style="3"/>
    <col min="2311" max="2311" width="12.44140625" style="3" customWidth="1"/>
    <col min="2312" max="2312" width="11.44140625" style="3"/>
    <col min="2313" max="2313" width="9.77734375" style="3" bestFit="1" customWidth="1"/>
    <col min="2314" max="2314" width="12" style="3" bestFit="1" customWidth="1"/>
    <col min="2315" max="2315" width="11.44140625" style="3"/>
    <col min="2316" max="2316" width="12" style="3" bestFit="1" customWidth="1"/>
    <col min="2317" max="2317" width="10.44140625" style="3" customWidth="1"/>
    <col min="2318" max="2318" width="11.77734375" style="3" bestFit="1" customWidth="1"/>
    <col min="2319" max="2319" width="11.21875" style="3" bestFit="1" customWidth="1"/>
    <col min="2320" max="2322" width="11.44140625" style="3"/>
    <col min="2323" max="2323" width="2.21875" style="3" customWidth="1"/>
    <col min="2324" max="2559" width="11.44140625" style="3"/>
    <col min="2560" max="2560" width="3.21875" style="3" customWidth="1"/>
    <col min="2561" max="2561" width="33.77734375" style="3" customWidth="1"/>
    <col min="2562" max="2562" width="11.44140625" style="3"/>
    <col min="2563" max="2563" width="10.77734375" style="3" bestFit="1" customWidth="1"/>
    <col min="2564" max="2564" width="10.77734375" style="3" customWidth="1"/>
    <col min="2565" max="2565" width="11.21875" style="3" bestFit="1" customWidth="1"/>
    <col min="2566" max="2566" width="11.44140625" style="3"/>
    <col min="2567" max="2567" width="12.44140625" style="3" customWidth="1"/>
    <col min="2568" max="2568" width="11.44140625" style="3"/>
    <col min="2569" max="2569" width="9.77734375" style="3" bestFit="1" customWidth="1"/>
    <col min="2570" max="2570" width="12" style="3" bestFit="1" customWidth="1"/>
    <col min="2571" max="2571" width="11.44140625" style="3"/>
    <col min="2572" max="2572" width="12" style="3" bestFit="1" customWidth="1"/>
    <col min="2573" max="2573" width="10.44140625" style="3" customWidth="1"/>
    <col min="2574" max="2574" width="11.77734375" style="3" bestFit="1" customWidth="1"/>
    <col min="2575" max="2575" width="11.21875" style="3" bestFit="1" customWidth="1"/>
    <col min="2576" max="2578" width="11.44140625" style="3"/>
    <col min="2579" max="2579" width="2.21875" style="3" customWidth="1"/>
    <col min="2580" max="2815" width="11.44140625" style="3"/>
    <col min="2816" max="2816" width="3.21875" style="3" customWidth="1"/>
    <col min="2817" max="2817" width="33.77734375" style="3" customWidth="1"/>
    <col min="2818" max="2818" width="11.44140625" style="3"/>
    <col min="2819" max="2819" width="10.77734375" style="3" bestFit="1" customWidth="1"/>
    <col min="2820" max="2820" width="10.77734375" style="3" customWidth="1"/>
    <col min="2821" max="2821" width="11.21875" style="3" bestFit="1" customWidth="1"/>
    <col min="2822" max="2822" width="11.44140625" style="3"/>
    <col min="2823" max="2823" width="12.44140625" style="3" customWidth="1"/>
    <col min="2824" max="2824" width="11.44140625" style="3"/>
    <col min="2825" max="2825" width="9.77734375" style="3" bestFit="1" customWidth="1"/>
    <col min="2826" max="2826" width="12" style="3" bestFit="1" customWidth="1"/>
    <col min="2827" max="2827" width="11.44140625" style="3"/>
    <col min="2828" max="2828" width="12" style="3" bestFit="1" customWidth="1"/>
    <col min="2829" max="2829" width="10.44140625" style="3" customWidth="1"/>
    <col min="2830" max="2830" width="11.77734375" style="3" bestFit="1" customWidth="1"/>
    <col min="2831" max="2831" width="11.21875" style="3" bestFit="1" customWidth="1"/>
    <col min="2832" max="2834" width="11.44140625" style="3"/>
    <col min="2835" max="2835" width="2.21875" style="3" customWidth="1"/>
    <col min="2836" max="3071" width="11.44140625" style="3"/>
    <col min="3072" max="3072" width="3.21875" style="3" customWidth="1"/>
    <col min="3073" max="3073" width="33.77734375" style="3" customWidth="1"/>
    <col min="3074" max="3074" width="11.44140625" style="3"/>
    <col min="3075" max="3075" width="10.77734375" style="3" bestFit="1" customWidth="1"/>
    <col min="3076" max="3076" width="10.77734375" style="3" customWidth="1"/>
    <col min="3077" max="3077" width="11.21875" style="3" bestFit="1" customWidth="1"/>
    <col min="3078" max="3078" width="11.44140625" style="3"/>
    <col min="3079" max="3079" width="12.44140625" style="3" customWidth="1"/>
    <col min="3080" max="3080" width="11.44140625" style="3"/>
    <col min="3081" max="3081" width="9.77734375" style="3" bestFit="1" customWidth="1"/>
    <col min="3082" max="3082" width="12" style="3" bestFit="1" customWidth="1"/>
    <col min="3083" max="3083" width="11.44140625" style="3"/>
    <col min="3084" max="3084" width="12" style="3" bestFit="1" customWidth="1"/>
    <col min="3085" max="3085" width="10.44140625" style="3" customWidth="1"/>
    <col min="3086" max="3086" width="11.77734375" style="3" bestFit="1" customWidth="1"/>
    <col min="3087" max="3087" width="11.21875" style="3" bestFit="1" customWidth="1"/>
    <col min="3088" max="3090" width="11.44140625" style="3"/>
    <col min="3091" max="3091" width="2.21875" style="3" customWidth="1"/>
    <col min="3092" max="3327" width="11.44140625" style="3"/>
    <col min="3328" max="3328" width="3.21875" style="3" customWidth="1"/>
    <col min="3329" max="3329" width="33.77734375" style="3" customWidth="1"/>
    <col min="3330" max="3330" width="11.44140625" style="3"/>
    <col min="3331" max="3331" width="10.77734375" style="3" bestFit="1" customWidth="1"/>
    <col min="3332" max="3332" width="10.77734375" style="3" customWidth="1"/>
    <col min="3333" max="3333" width="11.21875" style="3" bestFit="1" customWidth="1"/>
    <col min="3334" max="3334" width="11.44140625" style="3"/>
    <col min="3335" max="3335" width="12.44140625" style="3" customWidth="1"/>
    <col min="3336" max="3336" width="11.44140625" style="3"/>
    <col min="3337" max="3337" width="9.77734375" style="3" bestFit="1" customWidth="1"/>
    <col min="3338" max="3338" width="12" style="3" bestFit="1" customWidth="1"/>
    <col min="3339" max="3339" width="11.44140625" style="3"/>
    <col min="3340" max="3340" width="12" style="3" bestFit="1" customWidth="1"/>
    <col min="3341" max="3341" width="10.44140625" style="3" customWidth="1"/>
    <col min="3342" max="3342" width="11.77734375" style="3" bestFit="1" customWidth="1"/>
    <col min="3343" max="3343" width="11.21875" style="3" bestFit="1" customWidth="1"/>
    <col min="3344" max="3346" width="11.44140625" style="3"/>
    <col min="3347" max="3347" width="2.21875" style="3" customWidth="1"/>
    <col min="3348" max="3583" width="11.44140625" style="3"/>
    <col min="3584" max="3584" width="3.21875" style="3" customWidth="1"/>
    <col min="3585" max="3585" width="33.77734375" style="3" customWidth="1"/>
    <col min="3586" max="3586" width="11.44140625" style="3"/>
    <col min="3587" max="3587" width="10.77734375" style="3" bestFit="1" customWidth="1"/>
    <col min="3588" max="3588" width="10.77734375" style="3" customWidth="1"/>
    <col min="3589" max="3589" width="11.21875" style="3" bestFit="1" customWidth="1"/>
    <col min="3590" max="3590" width="11.44140625" style="3"/>
    <col min="3591" max="3591" width="12.44140625" style="3" customWidth="1"/>
    <col min="3592" max="3592" width="11.44140625" style="3"/>
    <col min="3593" max="3593" width="9.77734375" style="3" bestFit="1" customWidth="1"/>
    <col min="3594" max="3594" width="12" style="3" bestFit="1" customWidth="1"/>
    <col min="3595" max="3595" width="11.44140625" style="3"/>
    <col min="3596" max="3596" width="12" style="3" bestFit="1" customWidth="1"/>
    <col min="3597" max="3597" width="10.44140625" style="3" customWidth="1"/>
    <col min="3598" max="3598" width="11.77734375" style="3" bestFit="1" customWidth="1"/>
    <col min="3599" max="3599" width="11.21875" style="3" bestFit="1" customWidth="1"/>
    <col min="3600" max="3602" width="11.44140625" style="3"/>
    <col min="3603" max="3603" width="2.21875" style="3" customWidth="1"/>
    <col min="3604" max="3839" width="11.44140625" style="3"/>
    <col min="3840" max="3840" width="3.21875" style="3" customWidth="1"/>
    <col min="3841" max="3841" width="33.77734375" style="3" customWidth="1"/>
    <col min="3842" max="3842" width="11.44140625" style="3"/>
    <col min="3843" max="3843" width="10.77734375" style="3" bestFit="1" customWidth="1"/>
    <col min="3844" max="3844" width="10.77734375" style="3" customWidth="1"/>
    <col min="3845" max="3845" width="11.21875" style="3" bestFit="1" customWidth="1"/>
    <col min="3846" max="3846" width="11.44140625" style="3"/>
    <col min="3847" max="3847" width="12.44140625" style="3" customWidth="1"/>
    <col min="3848" max="3848" width="11.44140625" style="3"/>
    <col min="3849" max="3849" width="9.77734375" style="3" bestFit="1" customWidth="1"/>
    <col min="3850" max="3850" width="12" style="3" bestFit="1" customWidth="1"/>
    <col min="3851" max="3851" width="11.44140625" style="3"/>
    <col min="3852" max="3852" width="12" style="3" bestFit="1" customWidth="1"/>
    <col min="3853" max="3853" width="10.44140625" style="3" customWidth="1"/>
    <col min="3854" max="3854" width="11.77734375" style="3" bestFit="1" customWidth="1"/>
    <col min="3855" max="3855" width="11.21875" style="3" bestFit="1" customWidth="1"/>
    <col min="3856" max="3858" width="11.44140625" style="3"/>
    <col min="3859" max="3859" width="2.21875" style="3" customWidth="1"/>
    <col min="3860" max="4095" width="11.44140625" style="3"/>
    <col min="4096" max="4096" width="3.21875" style="3" customWidth="1"/>
    <col min="4097" max="4097" width="33.77734375" style="3" customWidth="1"/>
    <col min="4098" max="4098" width="11.44140625" style="3"/>
    <col min="4099" max="4099" width="10.77734375" style="3" bestFit="1" customWidth="1"/>
    <col min="4100" max="4100" width="10.77734375" style="3" customWidth="1"/>
    <col min="4101" max="4101" width="11.21875" style="3" bestFit="1" customWidth="1"/>
    <col min="4102" max="4102" width="11.44140625" style="3"/>
    <col min="4103" max="4103" width="12.44140625" style="3" customWidth="1"/>
    <col min="4104" max="4104" width="11.44140625" style="3"/>
    <col min="4105" max="4105" width="9.77734375" style="3" bestFit="1" customWidth="1"/>
    <col min="4106" max="4106" width="12" style="3" bestFit="1" customWidth="1"/>
    <col min="4107" max="4107" width="11.44140625" style="3"/>
    <col min="4108" max="4108" width="12" style="3" bestFit="1" customWidth="1"/>
    <col min="4109" max="4109" width="10.44140625" style="3" customWidth="1"/>
    <col min="4110" max="4110" width="11.77734375" style="3" bestFit="1" customWidth="1"/>
    <col min="4111" max="4111" width="11.21875" style="3" bestFit="1" customWidth="1"/>
    <col min="4112" max="4114" width="11.44140625" style="3"/>
    <col min="4115" max="4115" width="2.21875" style="3" customWidth="1"/>
    <col min="4116" max="4351" width="11.44140625" style="3"/>
    <col min="4352" max="4352" width="3.21875" style="3" customWidth="1"/>
    <col min="4353" max="4353" width="33.77734375" style="3" customWidth="1"/>
    <col min="4354" max="4354" width="11.44140625" style="3"/>
    <col min="4355" max="4355" width="10.77734375" style="3" bestFit="1" customWidth="1"/>
    <col min="4356" max="4356" width="10.77734375" style="3" customWidth="1"/>
    <col min="4357" max="4357" width="11.21875" style="3" bestFit="1" customWidth="1"/>
    <col min="4358" max="4358" width="11.44140625" style="3"/>
    <col min="4359" max="4359" width="12.44140625" style="3" customWidth="1"/>
    <col min="4360" max="4360" width="11.44140625" style="3"/>
    <col min="4361" max="4361" width="9.77734375" style="3" bestFit="1" customWidth="1"/>
    <col min="4362" max="4362" width="12" style="3" bestFit="1" customWidth="1"/>
    <col min="4363" max="4363" width="11.44140625" style="3"/>
    <col min="4364" max="4364" width="12" style="3" bestFit="1" customWidth="1"/>
    <col min="4365" max="4365" width="10.44140625" style="3" customWidth="1"/>
    <col min="4366" max="4366" width="11.77734375" style="3" bestFit="1" customWidth="1"/>
    <col min="4367" max="4367" width="11.21875" style="3" bestFit="1" customWidth="1"/>
    <col min="4368" max="4370" width="11.44140625" style="3"/>
    <col min="4371" max="4371" width="2.21875" style="3" customWidth="1"/>
    <col min="4372" max="4607" width="11.44140625" style="3"/>
    <col min="4608" max="4608" width="3.21875" style="3" customWidth="1"/>
    <col min="4609" max="4609" width="33.77734375" style="3" customWidth="1"/>
    <col min="4610" max="4610" width="11.44140625" style="3"/>
    <col min="4611" max="4611" width="10.77734375" style="3" bestFit="1" customWidth="1"/>
    <col min="4612" max="4612" width="10.77734375" style="3" customWidth="1"/>
    <col min="4613" max="4613" width="11.21875" style="3" bestFit="1" customWidth="1"/>
    <col min="4614" max="4614" width="11.44140625" style="3"/>
    <col min="4615" max="4615" width="12.44140625" style="3" customWidth="1"/>
    <col min="4616" max="4616" width="11.44140625" style="3"/>
    <col min="4617" max="4617" width="9.77734375" style="3" bestFit="1" customWidth="1"/>
    <col min="4618" max="4618" width="12" style="3" bestFit="1" customWidth="1"/>
    <col min="4619" max="4619" width="11.44140625" style="3"/>
    <col min="4620" max="4620" width="12" style="3" bestFit="1" customWidth="1"/>
    <col min="4621" max="4621" width="10.44140625" style="3" customWidth="1"/>
    <col min="4622" max="4622" width="11.77734375" style="3" bestFit="1" customWidth="1"/>
    <col min="4623" max="4623" width="11.21875" style="3" bestFit="1" customWidth="1"/>
    <col min="4624" max="4626" width="11.44140625" style="3"/>
    <col min="4627" max="4627" width="2.21875" style="3" customWidth="1"/>
    <col min="4628" max="4863" width="11.44140625" style="3"/>
    <col min="4864" max="4864" width="3.21875" style="3" customWidth="1"/>
    <col min="4865" max="4865" width="33.77734375" style="3" customWidth="1"/>
    <col min="4866" max="4866" width="11.44140625" style="3"/>
    <col min="4867" max="4867" width="10.77734375" style="3" bestFit="1" customWidth="1"/>
    <col min="4868" max="4868" width="10.77734375" style="3" customWidth="1"/>
    <col min="4869" max="4869" width="11.21875" style="3" bestFit="1" customWidth="1"/>
    <col min="4870" max="4870" width="11.44140625" style="3"/>
    <col min="4871" max="4871" width="12.44140625" style="3" customWidth="1"/>
    <col min="4872" max="4872" width="11.44140625" style="3"/>
    <col min="4873" max="4873" width="9.77734375" style="3" bestFit="1" customWidth="1"/>
    <col min="4874" max="4874" width="12" style="3" bestFit="1" customWidth="1"/>
    <col min="4875" max="4875" width="11.44140625" style="3"/>
    <col min="4876" max="4876" width="12" style="3" bestFit="1" customWidth="1"/>
    <col min="4877" max="4877" width="10.44140625" style="3" customWidth="1"/>
    <col min="4878" max="4878" width="11.77734375" style="3" bestFit="1" customWidth="1"/>
    <col min="4879" max="4879" width="11.21875" style="3" bestFit="1" customWidth="1"/>
    <col min="4880" max="4882" width="11.44140625" style="3"/>
    <col min="4883" max="4883" width="2.21875" style="3" customWidth="1"/>
    <col min="4884" max="5119" width="11.44140625" style="3"/>
    <col min="5120" max="5120" width="3.21875" style="3" customWidth="1"/>
    <col min="5121" max="5121" width="33.77734375" style="3" customWidth="1"/>
    <col min="5122" max="5122" width="11.44140625" style="3"/>
    <col min="5123" max="5123" width="10.77734375" style="3" bestFit="1" customWidth="1"/>
    <col min="5124" max="5124" width="10.77734375" style="3" customWidth="1"/>
    <col min="5125" max="5125" width="11.21875" style="3" bestFit="1" customWidth="1"/>
    <col min="5126" max="5126" width="11.44140625" style="3"/>
    <col min="5127" max="5127" width="12.44140625" style="3" customWidth="1"/>
    <col min="5128" max="5128" width="11.44140625" style="3"/>
    <col min="5129" max="5129" width="9.77734375" style="3" bestFit="1" customWidth="1"/>
    <col min="5130" max="5130" width="12" style="3" bestFit="1" customWidth="1"/>
    <col min="5131" max="5131" width="11.44140625" style="3"/>
    <col min="5132" max="5132" width="12" style="3" bestFit="1" customWidth="1"/>
    <col min="5133" max="5133" width="10.44140625" style="3" customWidth="1"/>
    <col min="5134" max="5134" width="11.77734375" style="3" bestFit="1" customWidth="1"/>
    <col min="5135" max="5135" width="11.21875" style="3" bestFit="1" customWidth="1"/>
    <col min="5136" max="5138" width="11.44140625" style="3"/>
    <col min="5139" max="5139" width="2.21875" style="3" customWidth="1"/>
    <col min="5140" max="5375" width="11.44140625" style="3"/>
    <col min="5376" max="5376" width="3.21875" style="3" customWidth="1"/>
    <col min="5377" max="5377" width="33.77734375" style="3" customWidth="1"/>
    <col min="5378" max="5378" width="11.44140625" style="3"/>
    <col min="5379" max="5379" width="10.77734375" style="3" bestFit="1" customWidth="1"/>
    <col min="5380" max="5380" width="10.77734375" style="3" customWidth="1"/>
    <col min="5381" max="5381" width="11.21875" style="3" bestFit="1" customWidth="1"/>
    <col min="5382" max="5382" width="11.44140625" style="3"/>
    <col min="5383" max="5383" width="12.44140625" style="3" customWidth="1"/>
    <col min="5384" max="5384" width="11.44140625" style="3"/>
    <col min="5385" max="5385" width="9.77734375" style="3" bestFit="1" customWidth="1"/>
    <col min="5386" max="5386" width="12" style="3" bestFit="1" customWidth="1"/>
    <col min="5387" max="5387" width="11.44140625" style="3"/>
    <col min="5388" max="5388" width="12" style="3" bestFit="1" customWidth="1"/>
    <col min="5389" max="5389" width="10.44140625" style="3" customWidth="1"/>
    <col min="5390" max="5390" width="11.77734375" style="3" bestFit="1" customWidth="1"/>
    <col min="5391" max="5391" width="11.21875" style="3" bestFit="1" customWidth="1"/>
    <col min="5392" max="5394" width="11.44140625" style="3"/>
    <col min="5395" max="5395" width="2.21875" style="3" customWidth="1"/>
    <col min="5396" max="5631" width="11.44140625" style="3"/>
    <col min="5632" max="5632" width="3.21875" style="3" customWidth="1"/>
    <col min="5633" max="5633" width="33.77734375" style="3" customWidth="1"/>
    <col min="5634" max="5634" width="11.44140625" style="3"/>
    <col min="5635" max="5635" width="10.77734375" style="3" bestFit="1" customWidth="1"/>
    <col min="5636" max="5636" width="10.77734375" style="3" customWidth="1"/>
    <col min="5637" max="5637" width="11.21875" style="3" bestFit="1" customWidth="1"/>
    <col min="5638" max="5638" width="11.44140625" style="3"/>
    <col min="5639" max="5639" width="12.44140625" style="3" customWidth="1"/>
    <col min="5640" max="5640" width="11.44140625" style="3"/>
    <col min="5641" max="5641" width="9.77734375" style="3" bestFit="1" customWidth="1"/>
    <col min="5642" max="5642" width="12" style="3" bestFit="1" customWidth="1"/>
    <col min="5643" max="5643" width="11.44140625" style="3"/>
    <col min="5644" max="5644" width="12" style="3" bestFit="1" customWidth="1"/>
    <col min="5645" max="5645" width="10.44140625" style="3" customWidth="1"/>
    <col min="5646" max="5646" width="11.77734375" style="3" bestFit="1" customWidth="1"/>
    <col min="5647" max="5647" width="11.21875" style="3" bestFit="1" customWidth="1"/>
    <col min="5648" max="5650" width="11.44140625" style="3"/>
    <col min="5651" max="5651" width="2.21875" style="3" customWidth="1"/>
    <col min="5652" max="5887" width="11.44140625" style="3"/>
    <col min="5888" max="5888" width="3.21875" style="3" customWidth="1"/>
    <col min="5889" max="5889" width="33.77734375" style="3" customWidth="1"/>
    <col min="5890" max="5890" width="11.44140625" style="3"/>
    <col min="5891" max="5891" width="10.77734375" style="3" bestFit="1" customWidth="1"/>
    <col min="5892" max="5892" width="10.77734375" style="3" customWidth="1"/>
    <col min="5893" max="5893" width="11.21875" style="3" bestFit="1" customWidth="1"/>
    <col min="5894" max="5894" width="11.44140625" style="3"/>
    <col min="5895" max="5895" width="12.44140625" style="3" customWidth="1"/>
    <col min="5896" max="5896" width="11.44140625" style="3"/>
    <col min="5897" max="5897" width="9.77734375" style="3" bestFit="1" customWidth="1"/>
    <col min="5898" max="5898" width="12" style="3" bestFit="1" customWidth="1"/>
    <col min="5899" max="5899" width="11.44140625" style="3"/>
    <col min="5900" max="5900" width="12" style="3" bestFit="1" customWidth="1"/>
    <col min="5901" max="5901" width="10.44140625" style="3" customWidth="1"/>
    <col min="5902" max="5902" width="11.77734375" style="3" bestFit="1" customWidth="1"/>
    <col min="5903" max="5903" width="11.21875" style="3" bestFit="1" customWidth="1"/>
    <col min="5904" max="5906" width="11.44140625" style="3"/>
    <col min="5907" max="5907" width="2.21875" style="3" customWidth="1"/>
    <col min="5908" max="6143" width="11.44140625" style="3"/>
    <col min="6144" max="6144" width="3.21875" style="3" customWidth="1"/>
    <col min="6145" max="6145" width="33.77734375" style="3" customWidth="1"/>
    <col min="6146" max="6146" width="11.44140625" style="3"/>
    <col min="6147" max="6147" width="10.77734375" style="3" bestFit="1" customWidth="1"/>
    <col min="6148" max="6148" width="10.77734375" style="3" customWidth="1"/>
    <col min="6149" max="6149" width="11.21875" style="3" bestFit="1" customWidth="1"/>
    <col min="6150" max="6150" width="11.44140625" style="3"/>
    <col min="6151" max="6151" width="12.44140625" style="3" customWidth="1"/>
    <col min="6152" max="6152" width="11.44140625" style="3"/>
    <col min="6153" max="6153" width="9.77734375" style="3" bestFit="1" customWidth="1"/>
    <col min="6154" max="6154" width="12" style="3" bestFit="1" customWidth="1"/>
    <col min="6155" max="6155" width="11.44140625" style="3"/>
    <col min="6156" max="6156" width="12" style="3" bestFit="1" customWidth="1"/>
    <col min="6157" max="6157" width="10.44140625" style="3" customWidth="1"/>
    <col min="6158" max="6158" width="11.77734375" style="3" bestFit="1" customWidth="1"/>
    <col min="6159" max="6159" width="11.21875" style="3" bestFit="1" customWidth="1"/>
    <col min="6160" max="6162" width="11.44140625" style="3"/>
    <col min="6163" max="6163" width="2.21875" style="3" customWidth="1"/>
    <col min="6164" max="6399" width="11.44140625" style="3"/>
    <col min="6400" max="6400" width="3.21875" style="3" customWidth="1"/>
    <col min="6401" max="6401" width="33.77734375" style="3" customWidth="1"/>
    <col min="6402" max="6402" width="11.44140625" style="3"/>
    <col min="6403" max="6403" width="10.77734375" style="3" bestFit="1" customWidth="1"/>
    <col min="6404" max="6404" width="10.77734375" style="3" customWidth="1"/>
    <col min="6405" max="6405" width="11.21875" style="3" bestFit="1" customWidth="1"/>
    <col min="6406" max="6406" width="11.44140625" style="3"/>
    <col min="6407" max="6407" width="12.44140625" style="3" customWidth="1"/>
    <col min="6408" max="6408" width="11.44140625" style="3"/>
    <col min="6409" max="6409" width="9.77734375" style="3" bestFit="1" customWidth="1"/>
    <col min="6410" max="6410" width="12" style="3" bestFit="1" customWidth="1"/>
    <col min="6411" max="6411" width="11.44140625" style="3"/>
    <col min="6412" max="6412" width="12" style="3" bestFit="1" customWidth="1"/>
    <col min="6413" max="6413" width="10.44140625" style="3" customWidth="1"/>
    <col min="6414" max="6414" width="11.77734375" style="3" bestFit="1" customWidth="1"/>
    <col min="6415" max="6415" width="11.21875" style="3" bestFit="1" customWidth="1"/>
    <col min="6416" max="6418" width="11.44140625" style="3"/>
    <col min="6419" max="6419" width="2.21875" style="3" customWidth="1"/>
    <col min="6420" max="6655" width="11.44140625" style="3"/>
    <col min="6656" max="6656" width="3.21875" style="3" customWidth="1"/>
    <col min="6657" max="6657" width="33.77734375" style="3" customWidth="1"/>
    <col min="6658" max="6658" width="11.44140625" style="3"/>
    <col min="6659" max="6659" width="10.77734375" style="3" bestFit="1" customWidth="1"/>
    <col min="6660" max="6660" width="10.77734375" style="3" customWidth="1"/>
    <col min="6661" max="6661" width="11.21875" style="3" bestFit="1" customWidth="1"/>
    <col min="6662" max="6662" width="11.44140625" style="3"/>
    <col min="6663" max="6663" width="12.44140625" style="3" customWidth="1"/>
    <col min="6664" max="6664" width="11.44140625" style="3"/>
    <col min="6665" max="6665" width="9.77734375" style="3" bestFit="1" customWidth="1"/>
    <col min="6666" max="6666" width="12" style="3" bestFit="1" customWidth="1"/>
    <col min="6667" max="6667" width="11.44140625" style="3"/>
    <col min="6668" max="6668" width="12" style="3" bestFit="1" customWidth="1"/>
    <col min="6669" max="6669" width="10.44140625" style="3" customWidth="1"/>
    <col min="6670" max="6670" width="11.77734375" style="3" bestFit="1" customWidth="1"/>
    <col min="6671" max="6671" width="11.21875" style="3" bestFit="1" customWidth="1"/>
    <col min="6672" max="6674" width="11.44140625" style="3"/>
    <col min="6675" max="6675" width="2.21875" style="3" customWidth="1"/>
    <col min="6676" max="6911" width="11.44140625" style="3"/>
    <col min="6912" max="6912" width="3.21875" style="3" customWidth="1"/>
    <col min="6913" max="6913" width="33.77734375" style="3" customWidth="1"/>
    <col min="6914" max="6914" width="11.44140625" style="3"/>
    <col min="6915" max="6915" width="10.77734375" style="3" bestFit="1" customWidth="1"/>
    <col min="6916" max="6916" width="10.77734375" style="3" customWidth="1"/>
    <col min="6917" max="6917" width="11.21875" style="3" bestFit="1" customWidth="1"/>
    <col min="6918" max="6918" width="11.44140625" style="3"/>
    <col min="6919" max="6919" width="12.44140625" style="3" customWidth="1"/>
    <col min="6920" max="6920" width="11.44140625" style="3"/>
    <col min="6921" max="6921" width="9.77734375" style="3" bestFit="1" customWidth="1"/>
    <col min="6922" max="6922" width="12" style="3" bestFit="1" customWidth="1"/>
    <col min="6923" max="6923" width="11.44140625" style="3"/>
    <col min="6924" max="6924" width="12" style="3" bestFit="1" customWidth="1"/>
    <col min="6925" max="6925" width="10.44140625" style="3" customWidth="1"/>
    <col min="6926" max="6926" width="11.77734375" style="3" bestFit="1" customWidth="1"/>
    <col min="6927" max="6927" width="11.21875" style="3" bestFit="1" customWidth="1"/>
    <col min="6928" max="6930" width="11.44140625" style="3"/>
    <col min="6931" max="6931" width="2.21875" style="3" customWidth="1"/>
    <col min="6932" max="7167" width="11.44140625" style="3"/>
    <col min="7168" max="7168" width="3.21875" style="3" customWidth="1"/>
    <col min="7169" max="7169" width="33.77734375" style="3" customWidth="1"/>
    <col min="7170" max="7170" width="11.44140625" style="3"/>
    <col min="7171" max="7171" width="10.77734375" style="3" bestFit="1" customWidth="1"/>
    <col min="7172" max="7172" width="10.77734375" style="3" customWidth="1"/>
    <col min="7173" max="7173" width="11.21875" style="3" bestFit="1" customWidth="1"/>
    <col min="7174" max="7174" width="11.44140625" style="3"/>
    <col min="7175" max="7175" width="12.44140625" style="3" customWidth="1"/>
    <col min="7176" max="7176" width="11.44140625" style="3"/>
    <col min="7177" max="7177" width="9.77734375" style="3" bestFit="1" customWidth="1"/>
    <col min="7178" max="7178" width="12" style="3" bestFit="1" customWidth="1"/>
    <col min="7179" max="7179" width="11.44140625" style="3"/>
    <col min="7180" max="7180" width="12" style="3" bestFit="1" customWidth="1"/>
    <col min="7181" max="7181" width="10.44140625" style="3" customWidth="1"/>
    <col min="7182" max="7182" width="11.77734375" style="3" bestFit="1" customWidth="1"/>
    <col min="7183" max="7183" width="11.21875" style="3" bestFit="1" customWidth="1"/>
    <col min="7184" max="7186" width="11.44140625" style="3"/>
    <col min="7187" max="7187" width="2.21875" style="3" customWidth="1"/>
    <col min="7188" max="7423" width="11.44140625" style="3"/>
    <col min="7424" max="7424" width="3.21875" style="3" customWidth="1"/>
    <col min="7425" max="7425" width="33.77734375" style="3" customWidth="1"/>
    <col min="7426" max="7426" width="11.44140625" style="3"/>
    <col min="7427" max="7427" width="10.77734375" style="3" bestFit="1" customWidth="1"/>
    <col min="7428" max="7428" width="10.77734375" style="3" customWidth="1"/>
    <col min="7429" max="7429" width="11.21875" style="3" bestFit="1" customWidth="1"/>
    <col min="7430" max="7430" width="11.44140625" style="3"/>
    <col min="7431" max="7431" width="12.44140625" style="3" customWidth="1"/>
    <col min="7432" max="7432" width="11.44140625" style="3"/>
    <col min="7433" max="7433" width="9.77734375" style="3" bestFit="1" customWidth="1"/>
    <col min="7434" max="7434" width="12" style="3" bestFit="1" customWidth="1"/>
    <col min="7435" max="7435" width="11.44140625" style="3"/>
    <col min="7436" max="7436" width="12" style="3" bestFit="1" customWidth="1"/>
    <col min="7437" max="7437" width="10.44140625" style="3" customWidth="1"/>
    <col min="7438" max="7438" width="11.77734375" style="3" bestFit="1" customWidth="1"/>
    <col min="7439" max="7439" width="11.21875" style="3" bestFit="1" customWidth="1"/>
    <col min="7440" max="7442" width="11.44140625" style="3"/>
    <col min="7443" max="7443" width="2.21875" style="3" customWidth="1"/>
    <col min="7444" max="7679" width="11.44140625" style="3"/>
    <col min="7680" max="7680" width="3.21875" style="3" customWidth="1"/>
    <col min="7681" max="7681" width="33.77734375" style="3" customWidth="1"/>
    <col min="7682" max="7682" width="11.44140625" style="3"/>
    <col min="7683" max="7683" width="10.77734375" style="3" bestFit="1" customWidth="1"/>
    <col min="7684" max="7684" width="10.77734375" style="3" customWidth="1"/>
    <col min="7685" max="7685" width="11.21875" style="3" bestFit="1" customWidth="1"/>
    <col min="7686" max="7686" width="11.44140625" style="3"/>
    <col min="7687" max="7687" width="12.44140625" style="3" customWidth="1"/>
    <col min="7688" max="7688" width="11.44140625" style="3"/>
    <col min="7689" max="7689" width="9.77734375" style="3" bestFit="1" customWidth="1"/>
    <col min="7690" max="7690" width="12" style="3" bestFit="1" customWidth="1"/>
    <col min="7691" max="7691" width="11.44140625" style="3"/>
    <col min="7692" max="7692" width="12" style="3" bestFit="1" customWidth="1"/>
    <col min="7693" max="7693" width="10.44140625" style="3" customWidth="1"/>
    <col min="7694" max="7694" width="11.77734375" style="3" bestFit="1" customWidth="1"/>
    <col min="7695" max="7695" width="11.21875" style="3" bestFit="1" customWidth="1"/>
    <col min="7696" max="7698" width="11.44140625" style="3"/>
    <col min="7699" max="7699" width="2.21875" style="3" customWidth="1"/>
    <col min="7700" max="7935" width="11.44140625" style="3"/>
    <col min="7936" max="7936" width="3.21875" style="3" customWidth="1"/>
    <col min="7937" max="7937" width="33.77734375" style="3" customWidth="1"/>
    <col min="7938" max="7938" width="11.44140625" style="3"/>
    <col min="7939" max="7939" width="10.77734375" style="3" bestFit="1" customWidth="1"/>
    <col min="7940" max="7940" width="10.77734375" style="3" customWidth="1"/>
    <col min="7941" max="7941" width="11.21875" style="3" bestFit="1" customWidth="1"/>
    <col min="7942" max="7942" width="11.44140625" style="3"/>
    <col min="7943" max="7943" width="12.44140625" style="3" customWidth="1"/>
    <col min="7944" max="7944" width="11.44140625" style="3"/>
    <col min="7945" max="7945" width="9.77734375" style="3" bestFit="1" customWidth="1"/>
    <col min="7946" max="7946" width="12" style="3" bestFit="1" customWidth="1"/>
    <col min="7947" max="7947" width="11.44140625" style="3"/>
    <col min="7948" max="7948" width="12" style="3" bestFit="1" customWidth="1"/>
    <col min="7949" max="7949" width="10.44140625" style="3" customWidth="1"/>
    <col min="7950" max="7950" width="11.77734375" style="3" bestFit="1" customWidth="1"/>
    <col min="7951" max="7951" width="11.21875" style="3" bestFit="1" customWidth="1"/>
    <col min="7952" max="7954" width="11.44140625" style="3"/>
    <col min="7955" max="7955" width="2.21875" style="3" customWidth="1"/>
    <col min="7956" max="8191" width="11.44140625" style="3"/>
    <col min="8192" max="8192" width="3.21875" style="3" customWidth="1"/>
    <col min="8193" max="8193" width="33.77734375" style="3" customWidth="1"/>
    <col min="8194" max="8194" width="11.44140625" style="3"/>
    <col min="8195" max="8195" width="10.77734375" style="3" bestFit="1" customWidth="1"/>
    <col min="8196" max="8196" width="10.77734375" style="3" customWidth="1"/>
    <col min="8197" max="8197" width="11.21875" style="3" bestFit="1" customWidth="1"/>
    <col min="8198" max="8198" width="11.44140625" style="3"/>
    <col min="8199" max="8199" width="12.44140625" style="3" customWidth="1"/>
    <col min="8200" max="8200" width="11.44140625" style="3"/>
    <col min="8201" max="8201" width="9.77734375" style="3" bestFit="1" customWidth="1"/>
    <col min="8202" max="8202" width="12" style="3" bestFit="1" customWidth="1"/>
    <col min="8203" max="8203" width="11.44140625" style="3"/>
    <col min="8204" max="8204" width="12" style="3" bestFit="1" customWidth="1"/>
    <col min="8205" max="8205" width="10.44140625" style="3" customWidth="1"/>
    <col min="8206" max="8206" width="11.77734375" style="3" bestFit="1" customWidth="1"/>
    <col min="8207" max="8207" width="11.21875" style="3" bestFit="1" customWidth="1"/>
    <col min="8208" max="8210" width="11.44140625" style="3"/>
    <col min="8211" max="8211" width="2.21875" style="3" customWidth="1"/>
    <col min="8212" max="8447" width="11.44140625" style="3"/>
    <col min="8448" max="8448" width="3.21875" style="3" customWidth="1"/>
    <col min="8449" max="8449" width="33.77734375" style="3" customWidth="1"/>
    <col min="8450" max="8450" width="11.44140625" style="3"/>
    <col min="8451" max="8451" width="10.77734375" style="3" bestFit="1" customWidth="1"/>
    <col min="8452" max="8452" width="10.77734375" style="3" customWidth="1"/>
    <col min="8453" max="8453" width="11.21875" style="3" bestFit="1" customWidth="1"/>
    <col min="8454" max="8454" width="11.44140625" style="3"/>
    <col min="8455" max="8455" width="12.44140625" style="3" customWidth="1"/>
    <col min="8456" max="8456" width="11.44140625" style="3"/>
    <col min="8457" max="8457" width="9.77734375" style="3" bestFit="1" customWidth="1"/>
    <col min="8458" max="8458" width="12" style="3" bestFit="1" customWidth="1"/>
    <col min="8459" max="8459" width="11.44140625" style="3"/>
    <col min="8460" max="8460" width="12" style="3" bestFit="1" customWidth="1"/>
    <col min="8461" max="8461" width="10.44140625" style="3" customWidth="1"/>
    <col min="8462" max="8462" width="11.77734375" style="3" bestFit="1" customWidth="1"/>
    <col min="8463" max="8463" width="11.21875" style="3" bestFit="1" customWidth="1"/>
    <col min="8464" max="8466" width="11.44140625" style="3"/>
    <col min="8467" max="8467" width="2.21875" style="3" customWidth="1"/>
    <col min="8468" max="8703" width="11.44140625" style="3"/>
    <col min="8704" max="8704" width="3.21875" style="3" customWidth="1"/>
    <col min="8705" max="8705" width="33.77734375" style="3" customWidth="1"/>
    <col min="8706" max="8706" width="11.44140625" style="3"/>
    <col min="8707" max="8707" width="10.77734375" style="3" bestFit="1" customWidth="1"/>
    <col min="8708" max="8708" width="10.77734375" style="3" customWidth="1"/>
    <col min="8709" max="8709" width="11.21875" style="3" bestFit="1" customWidth="1"/>
    <col min="8710" max="8710" width="11.44140625" style="3"/>
    <col min="8711" max="8711" width="12.44140625" style="3" customWidth="1"/>
    <col min="8712" max="8712" width="11.44140625" style="3"/>
    <col min="8713" max="8713" width="9.77734375" style="3" bestFit="1" customWidth="1"/>
    <col min="8714" max="8714" width="12" style="3" bestFit="1" customWidth="1"/>
    <col min="8715" max="8715" width="11.44140625" style="3"/>
    <col min="8716" max="8716" width="12" style="3" bestFit="1" customWidth="1"/>
    <col min="8717" max="8717" width="10.44140625" style="3" customWidth="1"/>
    <col min="8718" max="8718" width="11.77734375" style="3" bestFit="1" customWidth="1"/>
    <col min="8719" max="8719" width="11.21875" style="3" bestFit="1" customWidth="1"/>
    <col min="8720" max="8722" width="11.44140625" style="3"/>
    <col min="8723" max="8723" width="2.21875" style="3" customWidth="1"/>
    <col min="8724" max="8959" width="11.44140625" style="3"/>
    <col min="8960" max="8960" width="3.21875" style="3" customWidth="1"/>
    <col min="8961" max="8961" width="33.77734375" style="3" customWidth="1"/>
    <col min="8962" max="8962" width="11.44140625" style="3"/>
    <col min="8963" max="8963" width="10.77734375" style="3" bestFit="1" customWidth="1"/>
    <col min="8964" max="8964" width="10.77734375" style="3" customWidth="1"/>
    <col min="8965" max="8965" width="11.21875" style="3" bestFit="1" customWidth="1"/>
    <col min="8966" max="8966" width="11.44140625" style="3"/>
    <col min="8967" max="8967" width="12.44140625" style="3" customWidth="1"/>
    <col min="8968" max="8968" width="11.44140625" style="3"/>
    <col min="8969" max="8969" width="9.77734375" style="3" bestFit="1" customWidth="1"/>
    <col min="8970" max="8970" width="12" style="3" bestFit="1" customWidth="1"/>
    <col min="8971" max="8971" width="11.44140625" style="3"/>
    <col min="8972" max="8972" width="12" style="3" bestFit="1" customWidth="1"/>
    <col min="8973" max="8973" width="10.44140625" style="3" customWidth="1"/>
    <col min="8974" max="8974" width="11.77734375" style="3" bestFit="1" customWidth="1"/>
    <col min="8975" max="8975" width="11.21875" style="3" bestFit="1" customWidth="1"/>
    <col min="8976" max="8978" width="11.44140625" style="3"/>
    <col min="8979" max="8979" width="2.21875" style="3" customWidth="1"/>
    <col min="8980" max="9215" width="11.44140625" style="3"/>
    <col min="9216" max="9216" width="3.21875" style="3" customWidth="1"/>
    <col min="9217" max="9217" width="33.77734375" style="3" customWidth="1"/>
    <col min="9218" max="9218" width="11.44140625" style="3"/>
    <col min="9219" max="9219" width="10.77734375" style="3" bestFit="1" customWidth="1"/>
    <col min="9220" max="9220" width="10.77734375" style="3" customWidth="1"/>
    <col min="9221" max="9221" width="11.21875" style="3" bestFit="1" customWidth="1"/>
    <col min="9222" max="9222" width="11.44140625" style="3"/>
    <col min="9223" max="9223" width="12.44140625" style="3" customWidth="1"/>
    <col min="9224" max="9224" width="11.44140625" style="3"/>
    <col min="9225" max="9225" width="9.77734375" style="3" bestFit="1" customWidth="1"/>
    <col min="9226" max="9226" width="12" style="3" bestFit="1" customWidth="1"/>
    <col min="9227" max="9227" width="11.44140625" style="3"/>
    <col min="9228" max="9228" width="12" style="3" bestFit="1" customWidth="1"/>
    <col min="9229" max="9229" width="10.44140625" style="3" customWidth="1"/>
    <col min="9230" max="9230" width="11.77734375" style="3" bestFit="1" customWidth="1"/>
    <col min="9231" max="9231" width="11.21875" style="3" bestFit="1" customWidth="1"/>
    <col min="9232" max="9234" width="11.44140625" style="3"/>
    <col min="9235" max="9235" width="2.21875" style="3" customWidth="1"/>
    <col min="9236" max="9471" width="11.44140625" style="3"/>
    <col min="9472" max="9472" width="3.21875" style="3" customWidth="1"/>
    <col min="9473" max="9473" width="33.77734375" style="3" customWidth="1"/>
    <col min="9474" max="9474" width="11.44140625" style="3"/>
    <col min="9475" max="9475" width="10.77734375" style="3" bestFit="1" customWidth="1"/>
    <col min="9476" max="9476" width="10.77734375" style="3" customWidth="1"/>
    <col min="9477" max="9477" width="11.21875" style="3" bestFit="1" customWidth="1"/>
    <col min="9478" max="9478" width="11.44140625" style="3"/>
    <col min="9479" max="9479" width="12.44140625" style="3" customWidth="1"/>
    <col min="9480" max="9480" width="11.44140625" style="3"/>
    <col min="9481" max="9481" width="9.77734375" style="3" bestFit="1" customWidth="1"/>
    <col min="9482" max="9482" width="12" style="3" bestFit="1" customWidth="1"/>
    <col min="9483" max="9483" width="11.44140625" style="3"/>
    <col min="9484" max="9484" width="12" style="3" bestFit="1" customWidth="1"/>
    <col min="9485" max="9485" width="10.44140625" style="3" customWidth="1"/>
    <col min="9486" max="9486" width="11.77734375" style="3" bestFit="1" customWidth="1"/>
    <col min="9487" max="9487" width="11.21875" style="3" bestFit="1" customWidth="1"/>
    <col min="9488" max="9490" width="11.44140625" style="3"/>
    <col min="9491" max="9491" width="2.21875" style="3" customWidth="1"/>
    <col min="9492" max="9727" width="11.44140625" style="3"/>
    <col min="9728" max="9728" width="3.21875" style="3" customWidth="1"/>
    <col min="9729" max="9729" width="33.77734375" style="3" customWidth="1"/>
    <col min="9730" max="9730" width="11.44140625" style="3"/>
    <col min="9731" max="9731" width="10.77734375" style="3" bestFit="1" customWidth="1"/>
    <col min="9732" max="9732" width="10.77734375" style="3" customWidth="1"/>
    <col min="9733" max="9733" width="11.21875" style="3" bestFit="1" customWidth="1"/>
    <col min="9734" max="9734" width="11.44140625" style="3"/>
    <col min="9735" max="9735" width="12.44140625" style="3" customWidth="1"/>
    <col min="9736" max="9736" width="11.44140625" style="3"/>
    <col min="9737" max="9737" width="9.77734375" style="3" bestFit="1" customWidth="1"/>
    <col min="9738" max="9738" width="12" style="3" bestFit="1" customWidth="1"/>
    <col min="9739" max="9739" width="11.44140625" style="3"/>
    <col min="9740" max="9740" width="12" style="3" bestFit="1" customWidth="1"/>
    <col min="9741" max="9741" width="10.44140625" style="3" customWidth="1"/>
    <col min="9742" max="9742" width="11.77734375" style="3" bestFit="1" customWidth="1"/>
    <col min="9743" max="9743" width="11.21875" style="3" bestFit="1" customWidth="1"/>
    <col min="9744" max="9746" width="11.44140625" style="3"/>
    <col min="9747" max="9747" width="2.21875" style="3" customWidth="1"/>
    <col min="9748" max="9983" width="11.44140625" style="3"/>
    <col min="9984" max="9984" width="3.21875" style="3" customWidth="1"/>
    <col min="9985" max="9985" width="33.77734375" style="3" customWidth="1"/>
    <col min="9986" max="9986" width="11.44140625" style="3"/>
    <col min="9987" max="9987" width="10.77734375" style="3" bestFit="1" customWidth="1"/>
    <col min="9988" max="9988" width="10.77734375" style="3" customWidth="1"/>
    <col min="9989" max="9989" width="11.21875" style="3" bestFit="1" customWidth="1"/>
    <col min="9990" max="9990" width="11.44140625" style="3"/>
    <col min="9991" max="9991" width="12.44140625" style="3" customWidth="1"/>
    <col min="9992" max="9992" width="11.44140625" style="3"/>
    <col min="9993" max="9993" width="9.77734375" style="3" bestFit="1" customWidth="1"/>
    <col min="9994" max="9994" width="12" style="3" bestFit="1" customWidth="1"/>
    <col min="9995" max="9995" width="11.44140625" style="3"/>
    <col min="9996" max="9996" width="12" style="3" bestFit="1" customWidth="1"/>
    <col min="9997" max="9997" width="10.44140625" style="3" customWidth="1"/>
    <col min="9998" max="9998" width="11.77734375" style="3" bestFit="1" customWidth="1"/>
    <col min="9999" max="9999" width="11.21875" style="3" bestFit="1" customWidth="1"/>
    <col min="10000" max="10002" width="11.44140625" style="3"/>
    <col min="10003" max="10003" width="2.21875" style="3" customWidth="1"/>
    <col min="10004" max="10239" width="11.44140625" style="3"/>
    <col min="10240" max="10240" width="3.21875" style="3" customWidth="1"/>
    <col min="10241" max="10241" width="33.77734375" style="3" customWidth="1"/>
    <col min="10242" max="10242" width="11.44140625" style="3"/>
    <col min="10243" max="10243" width="10.77734375" style="3" bestFit="1" customWidth="1"/>
    <col min="10244" max="10244" width="10.77734375" style="3" customWidth="1"/>
    <col min="10245" max="10245" width="11.21875" style="3" bestFit="1" customWidth="1"/>
    <col min="10246" max="10246" width="11.44140625" style="3"/>
    <col min="10247" max="10247" width="12.44140625" style="3" customWidth="1"/>
    <col min="10248" max="10248" width="11.44140625" style="3"/>
    <col min="10249" max="10249" width="9.77734375" style="3" bestFit="1" customWidth="1"/>
    <col min="10250" max="10250" width="12" style="3" bestFit="1" customWidth="1"/>
    <col min="10251" max="10251" width="11.44140625" style="3"/>
    <col min="10252" max="10252" width="12" style="3" bestFit="1" customWidth="1"/>
    <col min="10253" max="10253" width="10.44140625" style="3" customWidth="1"/>
    <col min="10254" max="10254" width="11.77734375" style="3" bestFit="1" customWidth="1"/>
    <col min="10255" max="10255" width="11.21875" style="3" bestFit="1" customWidth="1"/>
    <col min="10256" max="10258" width="11.44140625" style="3"/>
    <col min="10259" max="10259" width="2.21875" style="3" customWidth="1"/>
    <col min="10260" max="10495" width="11.44140625" style="3"/>
    <col min="10496" max="10496" width="3.21875" style="3" customWidth="1"/>
    <col min="10497" max="10497" width="33.77734375" style="3" customWidth="1"/>
    <col min="10498" max="10498" width="11.44140625" style="3"/>
    <col min="10499" max="10499" width="10.77734375" style="3" bestFit="1" customWidth="1"/>
    <col min="10500" max="10500" width="10.77734375" style="3" customWidth="1"/>
    <col min="10501" max="10501" width="11.21875" style="3" bestFit="1" customWidth="1"/>
    <col min="10502" max="10502" width="11.44140625" style="3"/>
    <col min="10503" max="10503" width="12.44140625" style="3" customWidth="1"/>
    <col min="10504" max="10504" width="11.44140625" style="3"/>
    <col min="10505" max="10505" width="9.77734375" style="3" bestFit="1" customWidth="1"/>
    <col min="10506" max="10506" width="12" style="3" bestFit="1" customWidth="1"/>
    <col min="10507" max="10507" width="11.44140625" style="3"/>
    <col min="10508" max="10508" width="12" style="3" bestFit="1" customWidth="1"/>
    <col min="10509" max="10509" width="10.44140625" style="3" customWidth="1"/>
    <col min="10510" max="10510" width="11.77734375" style="3" bestFit="1" customWidth="1"/>
    <col min="10511" max="10511" width="11.21875" style="3" bestFit="1" customWidth="1"/>
    <col min="10512" max="10514" width="11.44140625" style="3"/>
    <col min="10515" max="10515" width="2.21875" style="3" customWidth="1"/>
    <col min="10516" max="10751" width="11.44140625" style="3"/>
    <col min="10752" max="10752" width="3.21875" style="3" customWidth="1"/>
    <col min="10753" max="10753" width="33.77734375" style="3" customWidth="1"/>
    <col min="10754" max="10754" width="11.44140625" style="3"/>
    <col min="10755" max="10755" width="10.77734375" style="3" bestFit="1" customWidth="1"/>
    <col min="10756" max="10756" width="10.77734375" style="3" customWidth="1"/>
    <col min="10757" max="10757" width="11.21875" style="3" bestFit="1" customWidth="1"/>
    <col min="10758" max="10758" width="11.44140625" style="3"/>
    <col min="10759" max="10759" width="12.44140625" style="3" customWidth="1"/>
    <col min="10760" max="10760" width="11.44140625" style="3"/>
    <col min="10761" max="10761" width="9.77734375" style="3" bestFit="1" customWidth="1"/>
    <col min="10762" max="10762" width="12" style="3" bestFit="1" customWidth="1"/>
    <col min="10763" max="10763" width="11.44140625" style="3"/>
    <col min="10764" max="10764" width="12" style="3" bestFit="1" customWidth="1"/>
    <col min="10765" max="10765" width="10.44140625" style="3" customWidth="1"/>
    <col min="10766" max="10766" width="11.77734375" style="3" bestFit="1" customWidth="1"/>
    <col min="10767" max="10767" width="11.21875" style="3" bestFit="1" customWidth="1"/>
    <col min="10768" max="10770" width="11.44140625" style="3"/>
    <col min="10771" max="10771" width="2.21875" style="3" customWidth="1"/>
    <col min="10772" max="11007" width="11.44140625" style="3"/>
    <col min="11008" max="11008" width="3.21875" style="3" customWidth="1"/>
    <col min="11009" max="11009" width="33.77734375" style="3" customWidth="1"/>
    <col min="11010" max="11010" width="11.44140625" style="3"/>
    <col min="11011" max="11011" width="10.77734375" style="3" bestFit="1" customWidth="1"/>
    <col min="11012" max="11012" width="10.77734375" style="3" customWidth="1"/>
    <col min="11013" max="11013" width="11.21875" style="3" bestFit="1" customWidth="1"/>
    <col min="11014" max="11014" width="11.44140625" style="3"/>
    <col min="11015" max="11015" width="12.44140625" style="3" customWidth="1"/>
    <col min="11016" max="11016" width="11.44140625" style="3"/>
    <col min="11017" max="11017" width="9.77734375" style="3" bestFit="1" customWidth="1"/>
    <col min="11018" max="11018" width="12" style="3" bestFit="1" customWidth="1"/>
    <col min="11019" max="11019" width="11.44140625" style="3"/>
    <col min="11020" max="11020" width="12" style="3" bestFit="1" customWidth="1"/>
    <col min="11021" max="11021" width="10.44140625" style="3" customWidth="1"/>
    <col min="11022" max="11022" width="11.77734375" style="3" bestFit="1" customWidth="1"/>
    <col min="11023" max="11023" width="11.21875" style="3" bestFit="1" customWidth="1"/>
    <col min="11024" max="11026" width="11.44140625" style="3"/>
    <col min="11027" max="11027" width="2.21875" style="3" customWidth="1"/>
    <col min="11028" max="11263" width="11.44140625" style="3"/>
    <col min="11264" max="11264" width="3.21875" style="3" customWidth="1"/>
    <col min="11265" max="11265" width="33.77734375" style="3" customWidth="1"/>
    <col min="11266" max="11266" width="11.44140625" style="3"/>
    <col min="11267" max="11267" width="10.77734375" style="3" bestFit="1" customWidth="1"/>
    <col min="11268" max="11268" width="10.77734375" style="3" customWidth="1"/>
    <col min="11269" max="11269" width="11.21875" style="3" bestFit="1" customWidth="1"/>
    <col min="11270" max="11270" width="11.44140625" style="3"/>
    <col min="11271" max="11271" width="12.44140625" style="3" customWidth="1"/>
    <col min="11272" max="11272" width="11.44140625" style="3"/>
    <col min="11273" max="11273" width="9.77734375" style="3" bestFit="1" customWidth="1"/>
    <col min="11274" max="11274" width="12" style="3" bestFit="1" customWidth="1"/>
    <col min="11275" max="11275" width="11.44140625" style="3"/>
    <col min="11276" max="11276" width="12" style="3" bestFit="1" customWidth="1"/>
    <col min="11277" max="11277" width="10.44140625" style="3" customWidth="1"/>
    <col min="11278" max="11278" width="11.77734375" style="3" bestFit="1" customWidth="1"/>
    <col min="11279" max="11279" width="11.21875" style="3" bestFit="1" customWidth="1"/>
    <col min="11280" max="11282" width="11.44140625" style="3"/>
    <col min="11283" max="11283" width="2.21875" style="3" customWidth="1"/>
    <col min="11284" max="11519" width="11.44140625" style="3"/>
    <col min="11520" max="11520" width="3.21875" style="3" customWidth="1"/>
    <col min="11521" max="11521" width="33.77734375" style="3" customWidth="1"/>
    <col min="11522" max="11522" width="11.44140625" style="3"/>
    <col min="11523" max="11523" width="10.77734375" style="3" bestFit="1" customWidth="1"/>
    <col min="11524" max="11524" width="10.77734375" style="3" customWidth="1"/>
    <col min="11525" max="11525" width="11.21875" style="3" bestFit="1" customWidth="1"/>
    <col min="11526" max="11526" width="11.44140625" style="3"/>
    <col min="11527" max="11527" width="12.44140625" style="3" customWidth="1"/>
    <col min="11528" max="11528" width="11.44140625" style="3"/>
    <col min="11529" max="11529" width="9.77734375" style="3" bestFit="1" customWidth="1"/>
    <col min="11530" max="11530" width="12" style="3" bestFit="1" customWidth="1"/>
    <col min="11531" max="11531" width="11.44140625" style="3"/>
    <col min="11532" max="11532" width="12" style="3" bestFit="1" customWidth="1"/>
    <col min="11533" max="11533" width="10.44140625" style="3" customWidth="1"/>
    <col min="11534" max="11534" width="11.77734375" style="3" bestFit="1" customWidth="1"/>
    <col min="11535" max="11535" width="11.21875" style="3" bestFit="1" customWidth="1"/>
    <col min="11536" max="11538" width="11.44140625" style="3"/>
    <col min="11539" max="11539" width="2.21875" style="3" customWidth="1"/>
    <col min="11540" max="11775" width="11.44140625" style="3"/>
    <col min="11776" max="11776" width="3.21875" style="3" customWidth="1"/>
    <col min="11777" max="11777" width="33.77734375" style="3" customWidth="1"/>
    <col min="11778" max="11778" width="11.44140625" style="3"/>
    <col min="11779" max="11779" width="10.77734375" style="3" bestFit="1" customWidth="1"/>
    <col min="11780" max="11780" width="10.77734375" style="3" customWidth="1"/>
    <col min="11781" max="11781" width="11.21875" style="3" bestFit="1" customWidth="1"/>
    <col min="11782" max="11782" width="11.44140625" style="3"/>
    <col min="11783" max="11783" width="12.44140625" style="3" customWidth="1"/>
    <col min="11784" max="11784" width="11.44140625" style="3"/>
    <col min="11785" max="11785" width="9.77734375" style="3" bestFit="1" customWidth="1"/>
    <col min="11786" max="11786" width="12" style="3" bestFit="1" customWidth="1"/>
    <col min="11787" max="11787" width="11.44140625" style="3"/>
    <col min="11788" max="11788" width="12" style="3" bestFit="1" customWidth="1"/>
    <col min="11789" max="11789" width="10.44140625" style="3" customWidth="1"/>
    <col min="11790" max="11790" width="11.77734375" style="3" bestFit="1" customWidth="1"/>
    <col min="11791" max="11791" width="11.21875" style="3" bestFit="1" customWidth="1"/>
    <col min="11792" max="11794" width="11.44140625" style="3"/>
    <col min="11795" max="11795" width="2.21875" style="3" customWidth="1"/>
    <col min="11796" max="12031" width="11.44140625" style="3"/>
    <col min="12032" max="12032" width="3.21875" style="3" customWidth="1"/>
    <col min="12033" max="12033" width="33.77734375" style="3" customWidth="1"/>
    <col min="12034" max="12034" width="11.44140625" style="3"/>
    <col min="12035" max="12035" width="10.77734375" style="3" bestFit="1" customWidth="1"/>
    <col min="12036" max="12036" width="10.77734375" style="3" customWidth="1"/>
    <col min="12037" max="12037" width="11.21875" style="3" bestFit="1" customWidth="1"/>
    <col min="12038" max="12038" width="11.44140625" style="3"/>
    <col min="12039" max="12039" width="12.44140625" style="3" customWidth="1"/>
    <col min="12040" max="12040" width="11.44140625" style="3"/>
    <col min="12041" max="12041" width="9.77734375" style="3" bestFit="1" customWidth="1"/>
    <col min="12042" max="12042" width="12" style="3" bestFit="1" customWidth="1"/>
    <col min="12043" max="12043" width="11.44140625" style="3"/>
    <col min="12044" max="12044" width="12" style="3" bestFit="1" customWidth="1"/>
    <col min="12045" max="12045" width="10.44140625" style="3" customWidth="1"/>
    <col min="12046" max="12046" width="11.77734375" style="3" bestFit="1" customWidth="1"/>
    <col min="12047" max="12047" width="11.21875" style="3" bestFit="1" customWidth="1"/>
    <col min="12048" max="12050" width="11.44140625" style="3"/>
    <col min="12051" max="12051" width="2.21875" style="3" customWidth="1"/>
    <col min="12052" max="12287" width="11.44140625" style="3"/>
    <col min="12288" max="12288" width="3.21875" style="3" customWidth="1"/>
    <col min="12289" max="12289" width="33.77734375" style="3" customWidth="1"/>
    <col min="12290" max="12290" width="11.44140625" style="3"/>
    <col min="12291" max="12291" width="10.77734375" style="3" bestFit="1" customWidth="1"/>
    <col min="12292" max="12292" width="10.77734375" style="3" customWidth="1"/>
    <col min="12293" max="12293" width="11.21875" style="3" bestFit="1" customWidth="1"/>
    <col min="12294" max="12294" width="11.44140625" style="3"/>
    <col min="12295" max="12295" width="12.44140625" style="3" customWidth="1"/>
    <col min="12296" max="12296" width="11.44140625" style="3"/>
    <col min="12297" max="12297" width="9.77734375" style="3" bestFit="1" customWidth="1"/>
    <col min="12298" max="12298" width="12" style="3" bestFit="1" customWidth="1"/>
    <col min="12299" max="12299" width="11.44140625" style="3"/>
    <col min="12300" max="12300" width="12" style="3" bestFit="1" customWidth="1"/>
    <col min="12301" max="12301" width="10.44140625" style="3" customWidth="1"/>
    <col min="12302" max="12302" width="11.77734375" style="3" bestFit="1" customWidth="1"/>
    <col min="12303" max="12303" width="11.21875" style="3" bestFit="1" customWidth="1"/>
    <col min="12304" max="12306" width="11.44140625" style="3"/>
    <col min="12307" max="12307" width="2.21875" style="3" customWidth="1"/>
    <col min="12308" max="12543" width="11.44140625" style="3"/>
    <col min="12544" max="12544" width="3.21875" style="3" customWidth="1"/>
    <col min="12545" max="12545" width="33.77734375" style="3" customWidth="1"/>
    <col min="12546" max="12546" width="11.44140625" style="3"/>
    <col min="12547" max="12547" width="10.77734375" style="3" bestFit="1" customWidth="1"/>
    <col min="12548" max="12548" width="10.77734375" style="3" customWidth="1"/>
    <col min="12549" max="12549" width="11.21875" style="3" bestFit="1" customWidth="1"/>
    <col min="12550" max="12550" width="11.44140625" style="3"/>
    <col min="12551" max="12551" width="12.44140625" style="3" customWidth="1"/>
    <col min="12552" max="12552" width="11.44140625" style="3"/>
    <col min="12553" max="12553" width="9.77734375" style="3" bestFit="1" customWidth="1"/>
    <col min="12554" max="12554" width="12" style="3" bestFit="1" customWidth="1"/>
    <col min="12555" max="12555" width="11.44140625" style="3"/>
    <col min="12556" max="12556" width="12" style="3" bestFit="1" customWidth="1"/>
    <col min="12557" max="12557" width="10.44140625" style="3" customWidth="1"/>
    <col min="12558" max="12558" width="11.77734375" style="3" bestFit="1" customWidth="1"/>
    <col min="12559" max="12559" width="11.21875" style="3" bestFit="1" customWidth="1"/>
    <col min="12560" max="12562" width="11.44140625" style="3"/>
    <col min="12563" max="12563" width="2.21875" style="3" customWidth="1"/>
    <col min="12564" max="12799" width="11.44140625" style="3"/>
    <col min="12800" max="12800" width="3.21875" style="3" customWidth="1"/>
    <col min="12801" max="12801" width="33.77734375" style="3" customWidth="1"/>
    <col min="12802" max="12802" width="11.44140625" style="3"/>
    <col min="12803" max="12803" width="10.77734375" style="3" bestFit="1" customWidth="1"/>
    <col min="12804" max="12804" width="10.77734375" style="3" customWidth="1"/>
    <col min="12805" max="12805" width="11.21875" style="3" bestFit="1" customWidth="1"/>
    <col min="12806" max="12806" width="11.44140625" style="3"/>
    <col min="12807" max="12807" width="12.44140625" style="3" customWidth="1"/>
    <col min="12808" max="12808" width="11.44140625" style="3"/>
    <col min="12809" max="12809" width="9.77734375" style="3" bestFit="1" customWidth="1"/>
    <col min="12810" max="12810" width="12" style="3" bestFit="1" customWidth="1"/>
    <col min="12811" max="12811" width="11.44140625" style="3"/>
    <col min="12812" max="12812" width="12" style="3" bestFit="1" customWidth="1"/>
    <col min="12813" max="12813" width="10.44140625" style="3" customWidth="1"/>
    <col min="12814" max="12814" width="11.77734375" style="3" bestFit="1" customWidth="1"/>
    <col min="12815" max="12815" width="11.21875" style="3" bestFit="1" customWidth="1"/>
    <col min="12816" max="12818" width="11.44140625" style="3"/>
    <col min="12819" max="12819" width="2.21875" style="3" customWidth="1"/>
    <col min="12820" max="13055" width="11.44140625" style="3"/>
    <col min="13056" max="13056" width="3.21875" style="3" customWidth="1"/>
    <col min="13057" max="13057" width="33.77734375" style="3" customWidth="1"/>
    <col min="13058" max="13058" width="11.44140625" style="3"/>
    <col min="13059" max="13059" width="10.77734375" style="3" bestFit="1" customWidth="1"/>
    <col min="13060" max="13060" width="10.77734375" style="3" customWidth="1"/>
    <col min="13061" max="13061" width="11.21875" style="3" bestFit="1" customWidth="1"/>
    <col min="13062" max="13062" width="11.44140625" style="3"/>
    <col min="13063" max="13063" width="12.44140625" style="3" customWidth="1"/>
    <col min="13064" max="13064" width="11.44140625" style="3"/>
    <col min="13065" max="13065" width="9.77734375" style="3" bestFit="1" customWidth="1"/>
    <col min="13066" max="13066" width="12" style="3" bestFit="1" customWidth="1"/>
    <col min="13067" max="13067" width="11.44140625" style="3"/>
    <col min="13068" max="13068" width="12" style="3" bestFit="1" customWidth="1"/>
    <col min="13069" max="13069" width="10.44140625" style="3" customWidth="1"/>
    <col min="13070" max="13070" width="11.77734375" style="3" bestFit="1" customWidth="1"/>
    <col min="13071" max="13071" width="11.21875" style="3" bestFit="1" customWidth="1"/>
    <col min="13072" max="13074" width="11.44140625" style="3"/>
    <col min="13075" max="13075" width="2.21875" style="3" customWidth="1"/>
    <col min="13076" max="13311" width="11.44140625" style="3"/>
    <col min="13312" max="13312" width="3.21875" style="3" customWidth="1"/>
    <col min="13313" max="13313" width="33.77734375" style="3" customWidth="1"/>
    <col min="13314" max="13314" width="11.44140625" style="3"/>
    <col min="13315" max="13315" width="10.77734375" style="3" bestFit="1" customWidth="1"/>
    <col min="13316" max="13316" width="10.77734375" style="3" customWidth="1"/>
    <col min="13317" max="13317" width="11.21875" style="3" bestFit="1" customWidth="1"/>
    <col min="13318" max="13318" width="11.44140625" style="3"/>
    <col min="13319" max="13319" width="12.44140625" style="3" customWidth="1"/>
    <col min="13320" max="13320" width="11.44140625" style="3"/>
    <col min="13321" max="13321" width="9.77734375" style="3" bestFit="1" customWidth="1"/>
    <col min="13322" max="13322" width="12" style="3" bestFit="1" customWidth="1"/>
    <col min="13323" max="13323" width="11.44140625" style="3"/>
    <col min="13324" max="13324" width="12" style="3" bestFit="1" customWidth="1"/>
    <col min="13325" max="13325" width="10.44140625" style="3" customWidth="1"/>
    <col min="13326" max="13326" width="11.77734375" style="3" bestFit="1" customWidth="1"/>
    <col min="13327" max="13327" width="11.21875" style="3" bestFit="1" customWidth="1"/>
    <col min="13328" max="13330" width="11.44140625" style="3"/>
    <col min="13331" max="13331" width="2.21875" style="3" customWidth="1"/>
    <col min="13332" max="13567" width="11.44140625" style="3"/>
    <col min="13568" max="13568" width="3.21875" style="3" customWidth="1"/>
    <col min="13569" max="13569" width="33.77734375" style="3" customWidth="1"/>
    <col min="13570" max="13570" width="11.44140625" style="3"/>
    <col min="13571" max="13571" width="10.77734375" style="3" bestFit="1" customWidth="1"/>
    <col min="13572" max="13572" width="10.77734375" style="3" customWidth="1"/>
    <col min="13573" max="13573" width="11.21875" style="3" bestFit="1" customWidth="1"/>
    <col min="13574" max="13574" width="11.44140625" style="3"/>
    <col min="13575" max="13575" width="12.44140625" style="3" customWidth="1"/>
    <col min="13576" max="13576" width="11.44140625" style="3"/>
    <col min="13577" max="13577" width="9.77734375" style="3" bestFit="1" customWidth="1"/>
    <col min="13578" max="13578" width="12" style="3" bestFit="1" customWidth="1"/>
    <col min="13579" max="13579" width="11.44140625" style="3"/>
    <col min="13580" max="13580" width="12" style="3" bestFit="1" customWidth="1"/>
    <col min="13581" max="13581" width="10.44140625" style="3" customWidth="1"/>
    <col min="13582" max="13582" width="11.77734375" style="3" bestFit="1" customWidth="1"/>
    <col min="13583" max="13583" width="11.21875" style="3" bestFit="1" customWidth="1"/>
    <col min="13584" max="13586" width="11.44140625" style="3"/>
    <col min="13587" max="13587" width="2.21875" style="3" customWidth="1"/>
    <col min="13588" max="13823" width="11.44140625" style="3"/>
    <col min="13824" max="13824" width="3.21875" style="3" customWidth="1"/>
    <col min="13825" max="13825" width="33.77734375" style="3" customWidth="1"/>
    <col min="13826" max="13826" width="11.44140625" style="3"/>
    <col min="13827" max="13827" width="10.77734375" style="3" bestFit="1" customWidth="1"/>
    <col min="13828" max="13828" width="10.77734375" style="3" customWidth="1"/>
    <col min="13829" max="13829" width="11.21875" style="3" bestFit="1" customWidth="1"/>
    <col min="13830" max="13830" width="11.44140625" style="3"/>
    <col min="13831" max="13831" width="12.44140625" style="3" customWidth="1"/>
    <col min="13832" max="13832" width="11.44140625" style="3"/>
    <col min="13833" max="13833" width="9.77734375" style="3" bestFit="1" customWidth="1"/>
    <col min="13834" max="13834" width="12" style="3" bestFit="1" customWidth="1"/>
    <col min="13835" max="13835" width="11.44140625" style="3"/>
    <col min="13836" max="13836" width="12" style="3" bestFit="1" customWidth="1"/>
    <col min="13837" max="13837" width="10.44140625" style="3" customWidth="1"/>
    <col min="13838" max="13838" width="11.77734375" style="3" bestFit="1" customWidth="1"/>
    <col min="13839" max="13839" width="11.21875" style="3" bestFit="1" customWidth="1"/>
    <col min="13840" max="13842" width="11.44140625" style="3"/>
    <col min="13843" max="13843" width="2.21875" style="3" customWidth="1"/>
    <col min="13844" max="14079" width="11.44140625" style="3"/>
    <col min="14080" max="14080" width="3.21875" style="3" customWidth="1"/>
    <col min="14081" max="14081" width="33.77734375" style="3" customWidth="1"/>
    <col min="14082" max="14082" width="11.44140625" style="3"/>
    <col min="14083" max="14083" width="10.77734375" style="3" bestFit="1" customWidth="1"/>
    <col min="14084" max="14084" width="10.77734375" style="3" customWidth="1"/>
    <col min="14085" max="14085" width="11.21875" style="3" bestFit="1" customWidth="1"/>
    <col min="14086" max="14086" width="11.44140625" style="3"/>
    <col min="14087" max="14087" width="12.44140625" style="3" customWidth="1"/>
    <col min="14088" max="14088" width="11.44140625" style="3"/>
    <col min="14089" max="14089" width="9.77734375" style="3" bestFit="1" customWidth="1"/>
    <col min="14090" max="14090" width="12" style="3" bestFit="1" customWidth="1"/>
    <col min="14091" max="14091" width="11.44140625" style="3"/>
    <col min="14092" max="14092" width="12" style="3" bestFit="1" customWidth="1"/>
    <col min="14093" max="14093" width="10.44140625" style="3" customWidth="1"/>
    <col min="14094" max="14094" width="11.77734375" style="3" bestFit="1" customWidth="1"/>
    <col min="14095" max="14095" width="11.21875" style="3" bestFit="1" customWidth="1"/>
    <col min="14096" max="14098" width="11.44140625" style="3"/>
    <col min="14099" max="14099" width="2.21875" style="3" customWidth="1"/>
    <col min="14100" max="14335" width="11.44140625" style="3"/>
    <col min="14336" max="14336" width="3.21875" style="3" customWidth="1"/>
    <col min="14337" max="14337" width="33.77734375" style="3" customWidth="1"/>
    <col min="14338" max="14338" width="11.44140625" style="3"/>
    <col min="14339" max="14339" width="10.77734375" style="3" bestFit="1" customWidth="1"/>
    <col min="14340" max="14340" width="10.77734375" style="3" customWidth="1"/>
    <col min="14341" max="14341" width="11.21875" style="3" bestFit="1" customWidth="1"/>
    <col min="14342" max="14342" width="11.44140625" style="3"/>
    <col min="14343" max="14343" width="12.44140625" style="3" customWidth="1"/>
    <col min="14344" max="14344" width="11.44140625" style="3"/>
    <col min="14345" max="14345" width="9.77734375" style="3" bestFit="1" customWidth="1"/>
    <col min="14346" max="14346" width="12" style="3" bestFit="1" customWidth="1"/>
    <col min="14347" max="14347" width="11.44140625" style="3"/>
    <col min="14348" max="14348" width="12" style="3" bestFit="1" customWidth="1"/>
    <col min="14349" max="14349" width="10.44140625" style="3" customWidth="1"/>
    <col min="14350" max="14350" width="11.77734375" style="3" bestFit="1" customWidth="1"/>
    <col min="14351" max="14351" width="11.21875" style="3" bestFit="1" customWidth="1"/>
    <col min="14352" max="14354" width="11.44140625" style="3"/>
    <col min="14355" max="14355" width="2.21875" style="3" customWidth="1"/>
    <col min="14356" max="14591" width="11.44140625" style="3"/>
    <col min="14592" max="14592" width="3.21875" style="3" customWidth="1"/>
    <col min="14593" max="14593" width="33.77734375" style="3" customWidth="1"/>
    <col min="14594" max="14594" width="11.44140625" style="3"/>
    <col min="14595" max="14595" width="10.77734375" style="3" bestFit="1" customWidth="1"/>
    <col min="14596" max="14596" width="10.77734375" style="3" customWidth="1"/>
    <col min="14597" max="14597" width="11.21875" style="3" bestFit="1" customWidth="1"/>
    <col min="14598" max="14598" width="11.44140625" style="3"/>
    <col min="14599" max="14599" width="12.44140625" style="3" customWidth="1"/>
    <col min="14600" max="14600" width="11.44140625" style="3"/>
    <col min="14601" max="14601" width="9.77734375" style="3" bestFit="1" customWidth="1"/>
    <col min="14602" max="14602" width="12" style="3" bestFit="1" customWidth="1"/>
    <col min="14603" max="14603" width="11.44140625" style="3"/>
    <col min="14604" max="14604" width="12" style="3" bestFit="1" customWidth="1"/>
    <col min="14605" max="14605" width="10.44140625" style="3" customWidth="1"/>
    <col min="14606" max="14606" width="11.77734375" style="3" bestFit="1" customWidth="1"/>
    <col min="14607" max="14607" width="11.21875" style="3" bestFit="1" customWidth="1"/>
    <col min="14608" max="14610" width="11.44140625" style="3"/>
    <col min="14611" max="14611" width="2.21875" style="3" customWidth="1"/>
    <col min="14612" max="14847" width="11.44140625" style="3"/>
    <col min="14848" max="14848" width="3.21875" style="3" customWidth="1"/>
    <col min="14849" max="14849" width="33.77734375" style="3" customWidth="1"/>
    <col min="14850" max="14850" width="11.44140625" style="3"/>
    <col min="14851" max="14851" width="10.77734375" style="3" bestFit="1" customWidth="1"/>
    <col min="14852" max="14852" width="10.77734375" style="3" customWidth="1"/>
    <col min="14853" max="14853" width="11.21875" style="3" bestFit="1" customWidth="1"/>
    <col min="14854" max="14854" width="11.44140625" style="3"/>
    <col min="14855" max="14855" width="12.44140625" style="3" customWidth="1"/>
    <col min="14856" max="14856" width="11.44140625" style="3"/>
    <col min="14857" max="14857" width="9.77734375" style="3" bestFit="1" customWidth="1"/>
    <col min="14858" max="14858" width="12" style="3" bestFit="1" customWidth="1"/>
    <col min="14859" max="14859" width="11.44140625" style="3"/>
    <col min="14860" max="14860" width="12" style="3" bestFit="1" customWidth="1"/>
    <col min="14861" max="14861" width="10.44140625" style="3" customWidth="1"/>
    <col min="14862" max="14862" width="11.77734375" style="3" bestFit="1" customWidth="1"/>
    <col min="14863" max="14863" width="11.21875" style="3" bestFit="1" customWidth="1"/>
    <col min="14864" max="14866" width="11.44140625" style="3"/>
    <col min="14867" max="14867" width="2.21875" style="3" customWidth="1"/>
    <col min="14868" max="15103" width="11.44140625" style="3"/>
    <col min="15104" max="15104" width="3.21875" style="3" customWidth="1"/>
    <col min="15105" max="15105" width="33.77734375" style="3" customWidth="1"/>
    <col min="15106" max="15106" width="11.44140625" style="3"/>
    <col min="15107" max="15107" width="10.77734375" style="3" bestFit="1" customWidth="1"/>
    <col min="15108" max="15108" width="10.77734375" style="3" customWidth="1"/>
    <col min="15109" max="15109" width="11.21875" style="3" bestFit="1" customWidth="1"/>
    <col min="15110" max="15110" width="11.44140625" style="3"/>
    <col min="15111" max="15111" width="12.44140625" style="3" customWidth="1"/>
    <col min="15112" max="15112" width="11.44140625" style="3"/>
    <col min="15113" max="15113" width="9.77734375" style="3" bestFit="1" customWidth="1"/>
    <col min="15114" max="15114" width="12" style="3" bestFit="1" customWidth="1"/>
    <col min="15115" max="15115" width="11.44140625" style="3"/>
    <col min="15116" max="15116" width="12" style="3" bestFit="1" customWidth="1"/>
    <col min="15117" max="15117" width="10.44140625" style="3" customWidth="1"/>
    <col min="15118" max="15118" width="11.77734375" style="3" bestFit="1" customWidth="1"/>
    <col min="15119" max="15119" width="11.21875" style="3" bestFit="1" customWidth="1"/>
    <col min="15120" max="15122" width="11.44140625" style="3"/>
    <col min="15123" max="15123" width="2.21875" style="3" customWidth="1"/>
    <col min="15124" max="15359" width="11.44140625" style="3"/>
    <col min="15360" max="15360" width="3.21875" style="3" customWidth="1"/>
    <col min="15361" max="15361" width="33.77734375" style="3" customWidth="1"/>
    <col min="15362" max="15362" width="11.44140625" style="3"/>
    <col min="15363" max="15363" width="10.77734375" style="3" bestFit="1" customWidth="1"/>
    <col min="15364" max="15364" width="10.77734375" style="3" customWidth="1"/>
    <col min="15365" max="15365" width="11.21875" style="3" bestFit="1" customWidth="1"/>
    <col min="15366" max="15366" width="11.44140625" style="3"/>
    <col min="15367" max="15367" width="12.44140625" style="3" customWidth="1"/>
    <col min="15368" max="15368" width="11.44140625" style="3"/>
    <col min="15369" max="15369" width="9.77734375" style="3" bestFit="1" customWidth="1"/>
    <col min="15370" max="15370" width="12" style="3" bestFit="1" customWidth="1"/>
    <col min="15371" max="15371" width="11.44140625" style="3"/>
    <col min="15372" max="15372" width="12" style="3" bestFit="1" customWidth="1"/>
    <col min="15373" max="15373" width="10.44140625" style="3" customWidth="1"/>
    <col min="15374" max="15374" width="11.77734375" style="3" bestFit="1" customWidth="1"/>
    <col min="15375" max="15375" width="11.21875" style="3" bestFit="1" customWidth="1"/>
    <col min="15376" max="15378" width="11.44140625" style="3"/>
    <col min="15379" max="15379" width="2.21875" style="3" customWidth="1"/>
    <col min="15380" max="15615" width="11.44140625" style="3"/>
    <col min="15616" max="15616" width="3.21875" style="3" customWidth="1"/>
    <col min="15617" max="15617" width="33.77734375" style="3" customWidth="1"/>
    <col min="15618" max="15618" width="11.44140625" style="3"/>
    <col min="15619" max="15619" width="10.77734375" style="3" bestFit="1" customWidth="1"/>
    <col min="15620" max="15620" width="10.77734375" style="3" customWidth="1"/>
    <col min="15621" max="15621" width="11.21875" style="3" bestFit="1" customWidth="1"/>
    <col min="15622" max="15622" width="11.44140625" style="3"/>
    <col min="15623" max="15623" width="12.44140625" style="3" customWidth="1"/>
    <col min="15624" max="15624" width="11.44140625" style="3"/>
    <col min="15625" max="15625" width="9.77734375" style="3" bestFit="1" customWidth="1"/>
    <col min="15626" max="15626" width="12" style="3" bestFit="1" customWidth="1"/>
    <col min="15627" max="15627" width="11.44140625" style="3"/>
    <col min="15628" max="15628" width="12" style="3" bestFit="1" customWidth="1"/>
    <col min="15629" max="15629" width="10.44140625" style="3" customWidth="1"/>
    <col min="15630" max="15630" width="11.77734375" style="3" bestFit="1" customWidth="1"/>
    <col min="15631" max="15631" width="11.21875" style="3" bestFit="1" customWidth="1"/>
    <col min="15632" max="15634" width="11.44140625" style="3"/>
    <col min="15635" max="15635" width="2.21875" style="3" customWidth="1"/>
    <col min="15636" max="15871" width="11.44140625" style="3"/>
    <col min="15872" max="15872" width="3.21875" style="3" customWidth="1"/>
    <col min="15873" max="15873" width="33.77734375" style="3" customWidth="1"/>
    <col min="15874" max="15874" width="11.44140625" style="3"/>
    <col min="15875" max="15875" width="10.77734375" style="3" bestFit="1" customWidth="1"/>
    <col min="15876" max="15876" width="10.77734375" style="3" customWidth="1"/>
    <col min="15877" max="15877" width="11.21875" style="3" bestFit="1" customWidth="1"/>
    <col min="15878" max="15878" width="11.44140625" style="3"/>
    <col min="15879" max="15879" width="12.44140625" style="3" customWidth="1"/>
    <col min="15880" max="15880" width="11.44140625" style="3"/>
    <col min="15881" max="15881" width="9.77734375" style="3" bestFit="1" customWidth="1"/>
    <col min="15882" max="15882" width="12" style="3" bestFit="1" customWidth="1"/>
    <col min="15883" max="15883" width="11.44140625" style="3"/>
    <col min="15884" max="15884" width="12" style="3" bestFit="1" customWidth="1"/>
    <col min="15885" max="15885" width="10.44140625" style="3" customWidth="1"/>
    <col min="15886" max="15886" width="11.77734375" style="3" bestFit="1" customWidth="1"/>
    <col min="15887" max="15887" width="11.21875" style="3" bestFit="1" customWidth="1"/>
    <col min="15888" max="15890" width="11.44140625" style="3"/>
    <col min="15891" max="15891" width="2.21875" style="3" customWidth="1"/>
    <col min="15892" max="16127" width="11.44140625" style="3"/>
    <col min="16128" max="16128" width="3.21875" style="3" customWidth="1"/>
    <col min="16129" max="16129" width="33.77734375" style="3" customWidth="1"/>
    <col min="16130" max="16130" width="11.44140625" style="3"/>
    <col min="16131" max="16131" width="10.77734375" style="3" bestFit="1" customWidth="1"/>
    <col min="16132" max="16132" width="10.77734375" style="3" customWidth="1"/>
    <col min="16133" max="16133" width="11.21875" style="3" bestFit="1" customWidth="1"/>
    <col min="16134" max="16134" width="11.44140625" style="3"/>
    <col min="16135" max="16135" width="12.44140625" style="3" customWidth="1"/>
    <col min="16136" max="16136" width="11.44140625" style="3"/>
    <col min="16137" max="16137" width="9.77734375" style="3" bestFit="1" customWidth="1"/>
    <col min="16138" max="16138" width="12" style="3" bestFit="1" customWidth="1"/>
    <col min="16139" max="16139" width="11.44140625" style="3"/>
    <col min="16140" max="16140" width="12" style="3" bestFit="1" customWidth="1"/>
    <col min="16141" max="16141" width="10.44140625" style="3" customWidth="1"/>
    <col min="16142" max="16142" width="11.77734375" style="3" bestFit="1" customWidth="1"/>
    <col min="16143" max="16143" width="11.21875" style="3" bestFit="1" customWidth="1"/>
    <col min="16144" max="16146" width="11.44140625" style="3"/>
    <col min="16147" max="16147" width="2.21875" style="3" customWidth="1"/>
    <col min="16148" max="16384" width="11.44140625" style="3"/>
  </cols>
  <sheetData>
    <row r="1" spans="1:18" ht="27" x14ac:dyDescent="0.65">
      <c r="A1" s="1" t="s">
        <v>0</v>
      </c>
      <c r="B1" s="2"/>
      <c r="C1" s="2"/>
      <c r="D1" s="2"/>
      <c r="E1" s="2"/>
      <c r="F1" s="2"/>
      <c r="G1" s="2"/>
      <c r="H1" s="2"/>
      <c r="I1" s="2"/>
      <c r="J1" s="2"/>
      <c r="K1" s="2"/>
      <c r="L1" s="2"/>
      <c r="M1" s="2"/>
      <c r="N1" s="2"/>
      <c r="O1" s="2"/>
      <c r="P1" s="2"/>
      <c r="Q1" s="2"/>
      <c r="R1" s="2"/>
    </row>
    <row r="2" spans="1:18" x14ac:dyDescent="0.45">
      <c r="A2" s="2" t="str">
        <f>"(In "&amp;C10&amp;" Millions Except Per Share Data)"</f>
        <v>(In INR Millions Except Per Share Data)</v>
      </c>
      <c r="B2" s="2"/>
      <c r="C2" s="2"/>
      <c r="D2" s="2"/>
      <c r="E2" s="2"/>
      <c r="F2" s="2"/>
      <c r="G2" s="2"/>
      <c r="H2" s="2"/>
      <c r="I2" s="2"/>
      <c r="J2" s="2"/>
      <c r="K2" s="2"/>
      <c r="L2" s="2"/>
      <c r="M2" s="2"/>
      <c r="N2" s="2"/>
      <c r="O2" s="2"/>
      <c r="P2" s="2"/>
      <c r="Q2" s="2"/>
      <c r="R2" s="2"/>
    </row>
    <row r="3" spans="1:18" ht="17.399999999999999" thickBot="1" x14ac:dyDescent="0.5"/>
    <row r="4" spans="1:18" x14ac:dyDescent="0.45">
      <c r="A4" s="4" t="s">
        <v>2</v>
      </c>
      <c r="B4" s="5"/>
      <c r="C4" s="6"/>
    </row>
    <row r="5" spans="1:18" x14ac:dyDescent="0.45">
      <c r="A5" s="7" t="s">
        <v>3</v>
      </c>
      <c r="C5" s="8" t="s">
        <v>185</v>
      </c>
    </row>
    <row r="6" spans="1:18" x14ac:dyDescent="0.45">
      <c r="A6" s="7" t="s">
        <v>4</v>
      </c>
      <c r="C6" s="151">
        <v>45457</v>
      </c>
      <c r="J6" s="3">
        <v>1000000</v>
      </c>
    </row>
    <row r="7" spans="1:18" x14ac:dyDescent="0.45">
      <c r="A7" s="7" t="s">
        <v>116</v>
      </c>
      <c r="C7" s="12" t="s">
        <v>186</v>
      </c>
    </row>
    <row r="8" spans="1:18" x14ac:dyDescent="0.45">
      <c r="A8" s="7" t="s">
        <v>8</v>
      </c>
      <c r="C8" s="151">
        <v>45291</v>
      </c>
      <c r="D8" s="3" t="s">
        <v>187</v>
      </c>
    </row>
    <row r="9" spans="1:18" x14ac:dyDescent="0.45">
      <c r="A9" s="7" t="s">
        <v>16</v>
      </c>
      <c r="C9" s="151">
        <v>45382</v>
      </c>
      <c r="D9" s="3" t="s">
        <v>188</v>
      </c>
    </row>
    <row r="10" spans="1:18" x14ac:dyDescent="0.45">
      <c r="A10" s="7" t="s">
        <v>17</v>
      </c>
      <c r="C10" s="8" t="s">
        <v>189</v>
      </c>
    </row>
    <row r="11" spans="1:18" ht="17.399999999999999" thickBot="1" x14ac:dyDescent="0.5">
      <c r="A11" s="24" t="s">
        <v>18</v>
      </c>
      <c r="B11" s="17"/>
      <c r="C11" s="152">
        <f>30%*1.12*1.04</f>
        <v>0.34944000000000003</v>
      </c>
      <c r="D11" s="3" t="s">
        <v>190</v>
      </c>
    </row>
    <row r="13" spans="1:18" ht="17.399999999999999" thickBot="1" x14ac:dyDescent="0.5"/>
    <row r="14" spans="1:18" ht="17.399999999999999" thickBot="1" x14ac:dyDescent="0.5">
      <c r="A14" s="9" t="s">
        <v>19</v>
      </c>
      <c r="B14" s="10"/>
      <c r="C14" s="26" t="s">
        <v>20</v>
      </c>
      <c r="D14" s="26" t="s">
        <v>21</v>
      </c>
      <c r="E14" s="26" t="s">
        <v>22</v>
      </c>
      <c r="F14" s="11"/>
    </row>
    <row r="15" spans="1:18" x14ac:dyDescent="0.45">
      <c r="A15" s="7" t="s">
        <v>23</v>
      </c>
      <c r="C15" s="27">
        <v>9020</v>
      </c>
      <c r="D15" s="27"/>
      <c r="E15" s="27"/>
      <c r="F15" s="28"/>
    </row>
    <row r="16" spans="1:18" x14ac:dyDescent="0.45">
      <c r="A16" s="7" t="s">
        <v>24</v>
      </c>
      <c r="C16" s="157">
        <f>211908375/ml</f>
        <v>211.90837500000001</v>
      </c>
      <c r="D16" s="27"/>
      <c r="E16" s="27"/>
      <c r="F16" s="29"/>
    </row>
    <row r="17" spans="1:15" x14ac:dyDescent="0.45">
      <c r="A17" s="7" t="s">
        <v>25</v>
      </c>
      <c r="B17" s="154"/>
      <c r="C17" s="156">
        <f>C16+I45+C53+F60</f>
        <v>211.963728</v>
      </c>
      <c r="D17" s="135"/>
      <c r="E17" s="135"/>
      <c r="F17" s="29"/>
      <c r="G17" s="154" t="s">
        <v>191</v>
      </c>
      <c r="H17" s="3" t="s">
        <v>192</v>
      </c>
    </row>
    <row r="18" spans="1:15" x14ac:dyDescent="0.45">
      <c r="A18" s="7" t="s">
        <v>26</v>
      </c>
      <c r="C18" s="135">
        <f>C15*C17</f>
        <v>1911912.82656</v>
      </c>
      <c r="D18" s="135"/>
      <c r="E18" s="135"/>
      <c r="F18" s="30">
        <f>SUM(C18:E18)</f>
        <v>1911912.82656</v>
      </c>
      <c r="G18" s="3">
        <v>59446</v>
      </c>
      <c r="H18" s="123">
        <f>F18/G18</f>
        <v>32.162177885139457</v>
      </c>
    </row>
    <row r="19" spans="1:15" x14ac:dyDescent="0.45">
      <c r="A19" s="7"/>
      <c r="C19" s="136" t="s">
        <v>144</v>
      </c>
      <c r="D19" s="136" t="s">
        <v>145</v>
      </c>
      <c r="E19" s="137" t="s">
        <v>146</v>
      </c>
      <c r="F19" s="138"/>
    </row>
    <row r="20" spans="1:15" x14ac:dyDescent="0.45">
      <c r="A20" s="33" t="s">
        <v>163</v>
      </c>
      <c r="C20" s="27">
        <v>0</v>
      </c>
      <c r="D20" s="27">
        <v>0</v>
      </c>
      <c r="E20" s="135">
        <v>0</v>
      </c>
      <c r="F20" s="30">
        <f>SUM(C20:E20)</f>
        <v>0</v>
      </c>
      <c r="H20" s="120">
        <v>2</v>
      </c>
      <c r="O20" s="3" t="s">
        <v>144</v>
      </c>
    </row>
    <row r="21" spans="1:15" x14ac:dyDescent="0.45">
      <c r="A21" s="33" t="s">
        <v>28</v>
      </c>
      <c r="E21" s="3" t="s">
        <v>165</v>
      </c>
      <c r="F21" s="138"/>
      <c r="H21" s="120"/>
      <c r="O21" s="3" t="s">
        <v>146</v>
      </c>
    </row>
    <row r="22" spans="1:15" x14ac:dyDescent="0.45">
      <c r="A22" s="33"/>
      <c r="B22" s="3" t="s">
        <v>149</v>
      </c>
      <c r="E22" s="27"/>
      <c r="F22" s="29"/>
      <c r="H22" s="120"/>
    </row>
    <row r="23" spans="1:15" x14ac:dyDescent="0.45">
      <c r="A23" s="7"/>
      <c r="B23" s="36" t="s">
        <v>150</v>
      </c>
      <c r="E23" s="135"/>
      <c r="F23" s="30">
        <f>E22-E23</f>
        <v>0</v>
      </c>
      <c r="H23" s="120"/>
      <c r="O23" s="3" t="s">
        <v>147</v>
      </c>
    </row>
    <row r="24" spans="1:15" x14ac:dyDescent="0.45">
      <c r="A24" s="33" t="s">
        <v>29</v>
      </c>
      <c r="E24" s="3" t="s">
        <v>164</v>
      </c>
      <c r="F24" s="138"/>
      <c r="H24" s="120"/>
      <c r="O24" s="3" t="s">
        <v>148</v>
      </c>
    </row>
    <row r="25" spans="1:15" ht="15" customHeight="1" x14ac:dyDescent="0.45">
      <c r="A25" s="7"/>
      <c r="B25" s="36" t="s">
        <v>166</v>
      </c>
      <c r="E25" s="35">
        <f>28.2*10</f>
        <v>282</v>
      </c>
      <c r="F25" s="29"/>
      <c r="H25" s="120"/>
    </row>
    <row r="26" spans="1:15" ht="15" customHeight="1" x14ac:dyDescent="0.45">
      <c r="A26" s="7"/>
      <c r="B26" s="36" t="s">
        <v>153</v>
      </c>
      <c r="C26" s="36"/>
      <c r="E26" s="135"/>
      <c r="F26" s="30">
        <f>E25-E26</f>
        <v>282</v>
      </c>
      <c r="H26" s="120"/>
      <c r="O26" s="3" t="s">
        <v>151</v>
      </c>
    </row>
    <row r="27" spans="1:15" x14ac:dyDescent="0.45">
      <c r="A27" s="33" t="s">
        <v>34</v>
      </c>
      <c r="E27" s="31"/>
      <c r="F27" s="29"/>
      <c r="O27" s="3" t="s">
        <v>152</v>
      </c>
    </row>
    <row r="28" spans="1:15" ht="15" customHeight="1" x14ac:dyDescent="0.45">
      <c r="A28" s="33"/>
      <c r="B28" s="154" t="s">
        <v>35</v>
      </c>
      <c r="E28" s="31"/>
      <c r="F28" s="32">
        <f>1.3*10</f>
        <v>13</v>
      </c>
    </row>
    <row r="29" spans="1:15" x14ac:dyDescent="0.45">
      <c r="A29" s="7"/>
      <c r="B29" s="3" t="s">
        <v>36</v>
      </c>
      <c r="E29" s="31"/>
      <c r="F29" s="32">
        <f>(20.05+28.93)*10</f>
        <v>489.80000000000007</v>
      </c>
      <c r="H29" s="120"/>
      <c r="O29" s="3" t="s">
        <v>157</v>
      </c>
    </row>
    <row r="30" spans="1:15" x14ac:dyDescent="0.45">
      <c r="A30" s="33" t="s">
        <v>37</v>
      </c>
      <c r="E30" s="31"/>
      <c r="F30" s="32">
        <f>(876.88+3939.29)*10</f>
        <v>48161.7</v>
      </c>
      <c r="O30" s="3" t="s">
        <v>158</v>
      </c>
    </row>
    <row r="31" spans="1:15" x14ac:dyDescent="0.45">
      <c r="A31" s="33" t="s">
        <v>137</v>
      </c>
      <c r="E31" s="31"/>
      <c r="F31" s="32">
        <f>1.56*10</f>
        <v>15.600000000000001</v>
      </c>
    </row>
    <row r="32" spans="1:15" ht="17.399999999999999" thickBot="1" x14ac:dyDescent="0.5">
      <c r="A32" s="46" t="s">
        <v>19</v>
      </c>
      <c r="B32" s="47"/>
      <c r="C32" s="47"/>
      <c r="D32" s="48"/>
      <c r="E32" s="48"/>
      <c r="F32" s="139">
        <f>F18+F20+F23+F26+F29-F30-F31+F28</f>
        <v>1864520.32656</v>
      </c>
    </row>
    <row r="33" spans="1:18" ht="15" customHeight="1" x14ac:dyDescent="0.45">
      <c r="A33" s="3" t="s">
        <v>39</v>
      </c>
      <c r="F33" s="140">
        <f>F18/SUM(C17:E17)</f>
        <v>9020</v>
      </c>
    </row>
    <row r="34" spans="1:18" ht="17.399999999999999" thickBot="1" x14ac:dyDescent="0.5">
      <c r="H34" s="51"/>
      <c r="I34" s="51"/>
      <c r="J34" s="51"/>
    </row>
    <row r="35" spans="1:18" ht="17.399999999999999" thickBot="1" x14ac:dyDescent="0.5">
      <c r="A35" s="9" t="s">
        <v>1</v>
      </c>
      <c r="B35" s="10"/>
      <c r="C35" s="10"/>
      <c r="D35" s="10"/>
      <c r="E35" s="10"/>
      <c r="F35" s="10"/>
      <c r="G35" s="10"/>
      <c r="H35" s="10"/>
      <c r="I35" s="11"/>
      <c r="J35" s="51"/>
      <c r="K35" s="51"/>
      <c r="L35" s="51"/>
      <c r="M35" s="51"/>
      <c r="N35" s="51"/>
      <c r="O35" s="51"/>
      <c r="P35" s="51"/>
    </row>
    <row r="36" spans="1:18" ht="17.399999999999999" thickBot="1" x14ac:dyDescent="0.5">
      <c r="H36" s="51"/>
      <c r="I36" s="51"/>
      <c r="J36" s="51"/>
      <c r="K36" s="51"/>
      <c r="L36" s="51"/>
      <c r="M36" s="51"/>
      <c r="N36" s="51"/>
      <c r="O36" s="51"/>
      <c r="P36" s="51"/>
      <c r="Q36" s="51"/>
      <c r="R36" s="51"/>
    </row>
    <row r="37" spans="1:18" x14ac:dyDescent="0.45">
      <c r="B37" s="192" t="s">
        <v>138</v>
      </c>
      <c r="C37" s="193"/>
      <c r="D37" s="193"/>
      <c r="E37" s="193"/>
      <c r="F37" s="193"/>
      <c r="G37" s="193"/>
      <c r="H37" s="193"/>
      <c r="I37" s="194"/>
      <c r="K37" s="51"/>
      <c r="L37" s="51"/>
      <c r="M37" s="51"/>
      <c r="N37" s="51"/>
      <c r="O37" s="51"/>
      <c r="P37" s="51"/>
      <c r="Q37" s="51"/>
      <c r="R37" s="51"/>
    </row>
    <row r="38" spans="1:18" ht="16.05" customHeight="1" x14ac:dyDescent="0.45">
      <c r="B38" s="161"/>
      <c r="C38" s="195" t="s">
        <v>89</v>
      </c>
      <c r="D38" s="162" t="s">
        <v>5</v>
      </c>
      <c r="E38" s="163"/>
      <c r="F38" s="197" t="s">
        <v>6</v>
      </c>
      <c r="G38" s="197"/>
      <c r="H38" s="197"/>
      <c r="I38" s="164" t="s">
        <v>7</v>
      </c>
      <c r="J38" s="51"/>
      <c r="K38" s="51"/>
      <c r="L38" s="51"/>
      <c r="M38" s="51"/>
      <c r="N38" s="51"/>
      <c r="O38" s="51"/>
      <c r="P38" s="51"/>
      <c r="Q38" s="51"/>
      <c r="R38" s="51"/>
    </row>
    <row r="39" spans="1:18" x14ac:dyDescent="0.45">
      <c r="B39" s="165"/>
      <c r="C39" s="196"/>
      <c r="D39" s="158" t="s">
        <v>10</v>
      </c>
      <c r="E39" s="158" t="s">
        <v>11</v>
      </c>
      <c r="F39" s="158" t="s">
        <v>12</v>
      </c>
      <c r="G39" s="160" t="s">
        <v>13</v>
      </c>
      <c r="H39" s="160" t="s">
        <v>14</v>
      </c>
      <c r="I39" s="166" t="s">
        <v>15</v>
      </c>
      <c r="J39" s="51"/>
      <c r="K39" s="51"/>
      <c r="L39" s="51"/>
      <c r="M39" s="51"/>
      <c r="N39" s="51"/>
      <c r="O39" s="51"/>
      <c r="P39" s="51"/>
      <c r="Q39" s="51"/>
      <c r="R39" s="51"/>
    </row>
    <row r="40" spans="1:18" x14ac:dyDescent="0.45">
      <c r="B40" s="165" t="s">
        <v>199</v>
      </c>
      <c r="C40" s="128"/>
      <c r="D40" s="128"/>
      <c r="E40" s="141"/>
      <c r="F40" s="128">
        <f>IF(E40="INTM",C40,0)</f>
        <v>0</v>
      </c>
      <c r="G40" s="170">
        <f>F40*D40</f>
        <v>0</v>
      </c>
      <c r="H40" s="171">
        <f>G40/$C$15</f>
        <v>0</v>
      </c>
      <c r="I40" s="172">
        <f>F40-H40</f>
        <v>0</v>
      </c>
      <c r="J40" s="51"/>
      <c r="K40" s="51"/>
      <c r="L40" s="51"/>
      <c r="M40" s="51"/>
      <c r="N40" s="51"/>
      <c r="O40" s="51"/>
      <c r="P40" s="51"/>
      <c r="Q40" s="51"/>
      <c r="R40" s="51"/>
    </row>
    <row r="41" spans="1:18" x14ac:dyDescent="0.45">
      <c r="B41" s="165" t="s">
        <v>200</v>
      </c>
      <c r="C41" s="128"/>
      <c r="D41" s="128"/>
      <c r="E41" s="141"/>
      <c r="F41" s="128">
        <f t="shared" ref="F41:F44" si="0">IF(E41="INTM",C41,0)</f>
        <v>0</v>
      </c>
      <c r="G41" s="170">
        <f t="shared" ref="G41:G44" si="1">F41*D41</f>
        <v>0</v>
      </c>
      <c r="H41" s="171">
        <f t="shared" ref="H41:H44" si="2">G41/$C$15</f>
        <v>0</v>
      </c>
      <c r="I41" s="172">
        <f t="shared" ref="I41:I44" si="3">F41-H41</f>
        <v>0</v>
      </c>
      <c r="J41" s="51"/>
      <c r="K41" s="51"/>
      <c r="L41" s="51"/>
      <c r="M41" s="51"/>
      <c r="N41" s="51"/>
      <c r="O41" s="51"/>
      <c r="P41" s="51"/>
      <c r="Q41" s="51"/>
      <c r="R41" s="51"/>
    </row>
    <row r="42" spans="1:18" x14ac:dyDescent="0.45">
      <c r="B42" s="165" t="s">
        <v>201</v>
      </c>
      <c r="C42" s="128"/>
      <c r="D42" s="128"/>
      <c r="E42" s="141"/>
      <c r="F42" s="128">
        <f t="shared" si="0"/>
        <v>0</v>
      </c>
      <c r="G42" s="170">
        <f t="shared" si="1"/>
        <v>0</v>
      </c>
      <c r="H42" s="171">
        <f t="shared" si="2"/>
        <v>0</v>
      </c>
      <c r="I42" s="172">
        <f t="shared" si="3"/>
        <v>0</v>
      </c>
      <c r="J42" s="51"/>
      <c r="K42" s="51"/>
      <c r="L42" s="51"/>
      <c r="M42" s="51"/>
      <c r="N42" s="51"/>
      <c r="O42" s="51"/>
      <c r="P42" s="51"/>
      <c r="Q42" s="51"/>
      <c r="R42" s="51"/>
    </row>
    <row r="43" spans="1:18" x14ac:dyDescent="0.45">
      <c r="B43" s="165" t="s">
        <v>202</v>
      </c>
      <c r="C43" s="128"/>
      <c r="D43" s="128"/>
      <c r="E43" s="141"/>
      <c r="F43" s="128">
        <f t="shared" si="0"/>
        <v>0</v>
      </c>
      <c r="G43" s="170">
        <f t="shared" si="1"/>
        <v>0</v>
      </c>
      <c r="H43" s="171">
        <f t="shared" si="2"/>
        <v>0</v>
      </c>
      <c r="I43" s="172">
        <f t="shared" si="3"/>
        <v>0</v>
      </c>
      <c r="J43" s="51"/>
      <c r="K43" s="51"/>
      <c r="L43" s="51"/>
      <c r="M43" s="51"/>
      <c r="N43" s="51"/>
      <c r="O43" s="51"/>
      <c r="P43" s="51"/>
      <c r="Q43" s="51"/>
      <c r="R43" s="51"/>
    </row>
    <row r="44" spans="1:18" x14ac:dyDescent="0.45">
      <c r="B44" s="165" t="s">
        <v>203</v>
      </c>
      <c r="C44" s="159"/>
      <c r="D44" s="159"/>
      <c r="E44" s="159"/>
      <c r="F44" s="128">
        <f t="shared" si="0"/>
        <v>0</v>
      </c>
      <c r="G44" s="170">
        <f t="shared" si="1"/>
        <v>0</v>
      </c>
      <c r="H44" s="171">
        <f t="shared" si="2"/>
        <v>0</v>
      </c>
      <c r="I44" s="172">
        <f t="shared" si="3"/>
        <v>0</v>
      </c>
      <c r="J44" s="51"/>
      <c r="K44" s="51"/>
      <c r="L44" s="51"/>
      <c r="M44" s="51"/>
      <c r="N44" s="51"/>
      <c r="O44" s="51"/>
      <c r="P44" s="51"/>
      <c r="Q44" s="51"/>
      <c r="R44" s="51"/>
    </row>
    <row r="45" spans="1:18" x14ac:dyDescent="0.45">
      <c r="B45" s="167"/>
      <c r="C45" s="168"/>
      <c r="D45" s="168"/>
      <c r="E45" s="168"/>
      <c r="F45" s="168"/>
      <c r="G45" s="168"/>
      <c r="H45" s="168"/>
      <c r="I45" s="173">
        <f>SUM(I40:I44)</f>
        <v>0</v>
      </c>
      <c r="J45" s="51"/>
      <c r="K45" s="51"/>
      <c r="L45" s="51"/>
      <c r="M45" s="51"/>
      <c r="N45" s="51"/>
      <c r="O45" s="51"/>
      <c r="P45" s="51"/>
      <c r="Q45" s="51"/>
      <c r="R45" s="51"/>
    </row>
    <row r="46" spans="1:18" ht="17.399999999999999" thickBot="1" x14ac:dyDescent="0.5">
      <c r="H46" s="51"/>
      <c r="I46" s="51"/>
      <c r="J46" s="51"/>
      <c r="K46" s="51"/>
      <c r="L46" s="51"/>
      <c r="M46" s="51"/>
      <c r="N46" s="51"/>
      <c r="O46" s="51"/>
      <c r="P46" s="51"/>
      <c r="Q46" s="51"/>
      <c r="R46" s="51"/>
    </row>
    <row r="47" spans="1:18" ht="17.399999999999999" thickBot="1" x14ac:dyDescent="0.5">
      <c r="B47" s="9" t="s">
        <v>136</v>
      </c>
      <c r="C47" s="11"/>
      <c r="H47" s="51"/>
      <c r="I47" s="51"/>
      <c r="K47" s="51"/>
      <c r="L47" s="51"/>
      <c r="M47" s="51"/>
      <c r="N47" s="51"/>
      <c r="O47" s="51"/>
      <c r="P47" s="51"/>
      <c r="Q47" s="51"/>
      <c r="R47" s="51"/>
    </row>
    <row r="48" spans="1:18" x14ac:dyDescent="0.45">
      <c r="B48" s="39" t="s">
        <v>32</v>
      </c>
      <c r="C48" s="149"/>
      <c r="D48" s="40"/>
      <c r="E48" s="148"/>
      <c r="F48" s="41"/>
      <c r="H48" s="51"/>
      <c r="I48" s="51"/>
      <c r="K48" s="51"/>
      <c r="L48" s="51"/>
      <c r="M48" s="51"/>
      <c r="N48" s="51"/>
      <c r="O48" s="51"/>
      <c r="P48" s="51"/>
      <c r="Q48" s="51"/>
      <c r="R48" s="51"/>
    </row>
    <row r="49" spans="1:18" x14ac:dyDescent="0.45">
      <c r="B49" s="7" t="s">
        <v>136</v>
      </c>
      <c r="C49" s="155">
        <f>55353/ml</f>
        <v>5.5352999999999999E-2</v>
      </c>
      <c r="D49" s="116"/>
      <c r="E49" s="117"/>
      <c r="F49" s="117"/>
      <c r="H49" s="51"/>
      <c r="I49" s="51"/>
      <c r="K49" s="51"/>
      <c r="L49" s="51"/>
      <c r="M49" s="51"/>
      <c r="N49" s="51"/>
      <c r="O49" s="51"/>
      <c r="P49" s="51"/>
      <c r="Q49" s="51"/>
      <c r="R49" s="51"/>
    </row>
    <row r="50" spans="1:18" x14ac:dyDescent="0.45">
      <c r="B50" s="7"/>
      <c r="C50" s="118"/>
      <c r="D50" s="116"/>
      <c r="E50" s="117"/>
      <c r="F50" s="117"/>
      <c r="H50" s="51"/>
      <c r="I50" s="51"/>
      <c r="K50" s="51"/>
      <c r="L50" s="51"/>
      <c r="M50" s="51"/>
      <c r="N50" s="51"/>
      <c r="O50" s="51"/>
      <c r="P50" s="51"/>
      <c r="Q50" s="51"/>
      <c r="R50" s="51"/>
    </row>
    <row r="51" spans="1:18" x14ac:dyDescent="0.45">
      <c r="B51" s="7"/>
      <c r="C51" s="118"/>
      <c r="D51" s="116"/>
      <c r="E51" s="117"/>
      <c r="F51" s="117"/>
      <c r="H51" s="51"/>
      <c r="I51" s="51"/>
      <c r="K51" s="51"/>
      <c r="L51" s="51"/>
      <c r="M51" s="51"/>
      <c r="N51" s="51"/>
      <c r="O51" s="51"/>
      <c r="P51" s="51"/>
      <c r="Q51" s="51"/>
      <c r="R51" s="51"/>
    </row>
    <row r="52" spans="1:18" x14ac:dyDescent="0.45">
      <c r="B52" s="7"/>
      <c r="C52" s="118"/>
      <c r="D52" s="116"/>
      <c r="E52" s="117"/>
      <c r="F52" s="117"/>
      <c r="H52" s="51"/>
      <c r="I52" s="51"/>
      <c r="K52" s="51"/>
      <c r="L52" s="51"/>
      <c r="M52" s="51"/>
      <c r="N52" s="51"/>
      <c r="O52" s="51"/>
      <c r="P52" s="51"/>
      <c r="Q52" s="51"/>
      <c r="R52" s="51"/>
    </row>
    <row r="53" spans="1:18" ht="17.399999999999999" thickBot="1" x14ac:dyDescent="0.5">
      <c r="B53" s="24"/>
      <c r="C53" s="174">
        <f>SUM(C49:C52)</f>
        <v>5.5352999999999999E-2</v>
      </c>
      <c r="D53" s="116"/>
      <c r="E53" s="116"/>
      <c r="F53" s="117"/>
      <c r="H53" s="51"/>
      <c r="I53" s="51"/>
      <c r="K53" s="51"/>
      <c r="L53" s="51"/>
      <c r="M53" s="51"/>
      <c r="N53" s="51"/>
      <c r="O53" s="51"/>
      <c r="P53" s="51"/>
      <c r="Q53" s="51"/>
      <c r="R53" s="51"/>
    </row>
    <row r="54" spans="1:18" ht="17.399999999999999" thickBot="1" x14ac:dyDescent="0.5">
      <c r="H54" s="51"/>
      <c r="I54" s="51"/>
      <c r="K54" s="51"/>
      <c r="L54" s="51"/>
      <c r="M54" s="51"/>
      <c r="N54" s="51"/>
      <c r="O54" s="51"/>
      <c r="P54" s="51"/>
      <c r="Q54" s="51"/>
      <c r="R54" s="51"/>
    </row>
    <row r="55" spans="1:18" ht="17.399999999999999" thickBot="1" x14ac:dyDescent="0.5">
      <c r="B55" s="9" t="s">
        <v>154</v>
      </c>
      <c r="C55" s="10"/>
      <c r="D55" s="10"/>
      <c r="E55" s="10"/>
      <c r="F55" s="11"/>
      <c r="H55" s="51"/>
      <c r="I55" s="51"/>
      <c r="K55" s="51"/>
      <c r="L55" s="51"/>
      <c r="M55" s="51"/>
      <c r="N55" s="51"/>
      <c r="O55" s="51"/>
      <c r="P55" s="51"/>
      <c r="Q55" s="51"/>
      <c r="R55" s="51"/>
    </row>
    <row r="56" spans="1:18" ht="16.05" customHeight="1" x14ac:dyDescent="0.45">
      <c r="B56" s="37"/>
      <c r="C56" s="38"/>
      <c r="D56" s="38"/>
      <c r="E56" s="180" t="s">
        <v>30</v>
      </c>
      <c r="F56" s="182" t="s">
        <v>31</v>
      </c>
      <c r="H56" s="51"/>
      <c r="I56" s="51"/>
      <c r="K56" s="51"/>
      <c r="L56" s="51"/>
      <c r="M56" s="51"/>
      <c r="N56" s="51"/>
      <c r="O56" s="51"/>
      <c r="P56" s="51"/>
      <c r="Q56" s="51"/>
      <c r="R56" s="51"/>
    </row>
    <row r="57" spans="1:18" x14ac:dyDescent="0.45">
      <c r="B57" s="39" t="s">
        <v>32</v>
      </c>
      <c r="C57" s="40" t="s">
        <v>33</v>
      </c>
      <c r="D57" s="40" t="s">
        <v>155</v>
      </c>
      <c r="E57" s="181"/>
      <c r="F57" s="183"/>
      <c r="H57" s="51"/>
      <c r="I57" s="51"/>
      <c r="K57" s="51"/>
      <c r="L57" s="51"/>
      <c r="M57" s="51"/>
      <c r="N57" s="51"/>
      <c r="O57" s="51"/>
      <c r="P57" s="51"/>
      <c r="Q57" s="51"/>
      <c r="R57" s="51"/>
    </row>
    <row r="58" spans="1:18" x14ac:dyDescent="0.45">
      <c r="B58" s="7"/>
      <c r="C58" s="27"/>
      <c r="D58" s="27"/>
      <c r="E58" s="42"/>
      <c r="F58" s="43"/>
      <c r="H58" s="51"/>
      <c r="I58" s="51"/>
      <c r="K58" s="51"/>
      <c r="L58" s="51"/>
      <c r="M58" s="51"/>
      <c r="N58" s="51"/>
      <c r="O58" s="51"/>
      <c r="P58" s="51"/>
      <c r="Q58" s="51"/>
      <c r="R58" s="51"/>
    </row>
    <row r="59" spans="1:18" x14ac:dyDescent="0.45">
      <c r="B59" s="7"/>
      <c r="C59" s="27"/>
      <c r="D59" s="27"/>
      <c r="E59" s="42"/>
      <c r="F59" s="43"/>
      <c r="H59" s="51"/>
      <c r="I59" s="51"/>
      <c r="K59" s="51"/>
      <c r="L59" s="51"/>
      <c r="M59" s="51"/>
      <c r="N59" s="51"/>
      <c r="O59" s="51"/>
      <c r="P59" s="51"/>
      <c r="Q59" s="51"/>
      <c r="R59" s="51"/>
    </row>
    <row r="60" spans="1:18" ht="17.399999999999999" thickBot="1" x14ac:dyDescent="0.5">
      <c r="B60" s="24"/>
      <c r="C60" s="44"/>
      <c r="D60" s="44"/>
      <c r="E60" s="44"/>
      <c r="F60" s="45"/>
      <c r="H60" s="51"/>
      <c r="I60" s="51"/>
      <c r="K60" s="51"/>
      <c r="L60" s="51"/>
      <c r="M60" s="51"/>
      <c r="N60" s="51"/>
      <c r="O60" s="51"/>
      <c r="P60" s="51"/>
      <c r="Q60" s="51"/>
      <c r="R60" s="51"/>
    </row>
    <row r="61" spans="1:18" x14ac:dyDescent="0.45">
      <c r="H61" s="51"/>
      <c r="I61" s="51"/>
      <c r="J61" s="51"/>
      <c r="K61" s="51"/>
      <c r="L61" s="51"/>
      <c r="M61" s="51"/>
      <c r="N61" s="51"/>
      <c r="O61" s="51"/>
      <c r="P61" s="51"/>
      <c r="Q61" s="51"/>
      <c r="R61" s="51"/>
    </row>
    <row r="62" spans="1:18" x14ac:dyDescent="0.45">
      <c r="I62" s="190" t="s">
        <v>139</v>
      </c>
      <c r="J62" s="190"/>
      <c r="K62" s="190"/>
      <c r="L62" s="191" t="s">
        <v>140</v>
      </c>
      <c r="M62" s="191"/>
    </row>
    <row r="63" spans="1:18" ht="16.05" customHeight="1" x14ac:dyDescent="0.45">
      <c r="A63" s="2" t="s">
        <v>40</v>
      </c>
      <c r="B63" s="2"/>
      <c r="C63" s="2"/>
      <c r="D63" s="2"/>
      <c r="E63" s="52" t="s">
        <v>41</v>
      </c>
      <c r="F63" s="52" t="s">
        <v>42</v>
      </c>
      <c r="G63" s="52" t="s">
        <v>43</v>
      </c>
      <c r="H63" s="52" t="s">
        <v>44</v>
      </c>
      <c r="I63" s="53" t="s">
        <v>45</v>
      </c>
      <c r="J63" s="53" t="s">
        <v>46</v>
      </c>
      <c r="K63" s="53" t="s">
        <v>47</v>
      </c>
      <c r="L63" s="53" t="s">
        <v>45</v>
      </c>
      <c r="M63" s="53" t="s">
        <v>46</v>
      </c>
      <c r="O63" s="120" t="s">
        <v>156</v>
      </c>
    </row>
    <row r="64" spans="1:18" x14ac:dyDescent="0.45">
      <c r="E64" s="120" t="s">
        <v>48</v>
      </c>
      <c r="F64" s="122">
        <f>YEARFRAC(C8,C9)*12</f>
        <v>3</v>
      </c>
      <c r="G64" s="122">
        <f>F64</f>
        <v>3</v>
      </c>
      <c r="H64" s="121">
        <f>C9</f>
        <v>45382</v>
      </c>
      <c r="I64" s="125">
        <v>45657</v>
      </c>
      <c r="J64" s="125">
        <f>EDATE(I64,12)</f>
        <v>46022</v>
      </c>
      <c r="K64" s="125">
        <f>EDATE(J64,12)</f>
        <v>46387</v>
      </c>
      <c r="L64" s="126">
        <v>45747</v>
      </c>
      <c r="M64" s="127">
        <f>EDATE(L64,12)</f>
        <v>46112</v>
      </c>
    </row>
    <row r="65" spans="1:20" ht="17.399999999999999" thickBot="1" x14ac:dyDescent="0.5">
      <c r="A65" s="3" t="s">
        <v>49</v>
      </c>
      <c r="E65" s="27">
        <f>10446.52*10</f>
        <v>104465.20000000001</v>
      </c>
      <c r="F65" s="27">
        <f>3080.36*10</f>
        <v>30803.600000000002</v>
      </c>
      <c r="G65" s="54">
        <f>2411.21*10</f>
        <v>24112.1</v>
      </c>
      <c r="H65" s="55">
        <f>E65+F65-G65</f>
        <v>111156.70000000001</v>
      </c>
      <c r="I65" s="207">
        <v>129396</v>
      </c>
      <c r="J65" s="207">
        <v>155850</v>
      </c>
      <c r="K65" s="207">
        <v>186298</v>
      </c>
      <c r="L65" s="55">
        <f>I65*(1-YEARFRAC(I$64,L$64))+J65*YEARFRAC(I$64,L$64)</f>
        <v>136009.5</v>
      </c>
      <c r="M65" s="55">
        <f>J65*(1-YEARFRAC(J$64,M$64))+K65*YEARFRAC(J$64,M$64)</f>
        <v>163462</v>
      </c>
      <c r="O65" s="145">
        <f>IFERROR((K65/E65)^(1/3)-1,0)</f>
        <v>0.2126780521661884</v>
      </c>
      <c r="T65" s="123"/>
    </row>
    <row r="66" spans="1:20" ht="5.25" customHeight="1" x14ac:dyDescent="0.5">
      <c r="E66" s="31"/>
      <c r="F66" s="31"/>
      <c r="G66" s="31"/>
      <c r="H66" s="31"/>
      <c r="I66" s="208"/>
      <c r="J66" s="208"/>
      <c r="K66" s="208"/>
    </row>
    <row r="67" spans="1:20" ht="18" x14ac:dyDescent="0.5">
      <c r="A67" s="3" t="s">
        <v>50</v>
      </c>
      <c r="E67" s="27">
        <f>(1658.89+12.66-301.69)*10</f>
        <v>13698.600000000002</v>
      </c>
      <c r="F67" s="27">
        <f>(617.09+3.81-87.14)*10</f>
        <v>5337.6</v>
      </c>
      <c r="G67" s="27">
        <f>(327.85+2.23-72.25)*10</f>
        <v>2578.3000000000002</v>
      </c>
      <c r="H67" s="55">
        <f>E67+F67-G67</f>
        <v>16457.900000000005</v>
      </c>
      <c r="I67" s="208"/>
      <c r="J67" s="208"/>
      <c r="K67" s="208"/>
      <c r="L67" s="57"/>
      <c r="M67" s="57"/>
      <c r="T67" s="57"/>
    </row>
    <row r="68" spans="1:20" s="49" customFormat="1" ht="18" x14ac:dyDescent="0.5">
      <c r="A68" s="3" t="s">
        <v>210</v>
      </c>
      <c r="E68" s="27">
        <v>0</v>
      </c>
      <c r="F68" s="27">
        <v>0</v>
      </c>
      <c r="G68" s="27">
        <v>0</v>
      </c>
      <c r="H68" s="55">
        <f>E68+F68-G68</f>
        <v>0</v>
      </c>
      <c r="I68" s="209"/>
      <c r="J68" s="209"/>
      <c r="K68" s="209"/>
      <c r="L68" s="124"/>
    </row>
    <row r="69" spans="1:20" s="49" customFormat="1" ht="17.399999999999999" thickBot="1" x14ac:dyDescent="0.5">
      <c r="A69" s="56" t="s">
        <v>211</v>
      </c>
      <c r="E69" s="142">
        <f>SUM(E67:E68)</f>
        <v>13698.600000000002</v>
      </c>
      <c r="F69" s="142">
        <f t="shared" ref="F69:H69" si="4">SUM(F67:F68)</f>
        <v>5337.6</v>
      </c>
      <c r="G69" s="142">
        <f t="shared" si="4"/>
        <v>2578.3000000000002</v>
      </c>
      <c r="H69" s="142">
        <f t="shared" si="4"/>
        <v>16457.900000000005</v>
      </c>
      <c r="I69" s="207">
        <v>19281</v>
      </c>
      <c r="J69" s="207">
        <v>22821</v>
      </c>
      <c r="K69" s="207">
        <v>27241</v>
      </c>
      <c r="L69" s="55">
        <f>I69*(1-YEARFRAC(I$64,L$64))+J69*YEARFRAC(I$64,L$64)</f>
        <v>20166</v>
      </c>
      <c r="M69" s="55">
        <f>J69*(1-YEARFRAC(J$64,M$64))+K69*YEARFRAC(J$64,M$64)</f>
        <v>23926</v>
      </c>
      <c r="O69" s="145">
        <f>IFERROR((K69/E69)^(1/3)-1,0)</f>
        <v>0.25752208378872199</v>
      </c>
    </row>
    <row r="70" spans="1:20" ht="18" x14ac:dyDescent="0.5">
      <c r="A70" s="3" t="s">
        <v>53</v>
      </c>
      <c r="E70" s="27">
        <f>119.92*10</f>
        <v>1199.2</v>
      </c>
      <c r="F70" s="27">
        <f>31.42*10</f>
        <v>314.20000000000005</v>
      </c>
      <c r="G70" s="27">
        <f>27.48*10</f>
        <v>274.8</v>
      </c>
      <c r="H70" s="55">
        <f>E70+F70-G70</f>
        <v>1238.6000000000001</v>
      </c>
      <c r="I70" s="208"/>
      <c r="J70" s="208"/>
      <c r="K70" s="208"/>
    </row>
    <row r="71" spans="1:20" s="49" customFormat="1" ht="17.399999999999999" thickBot="1" x14ac:dyDescent="0.5">
      <c r="A71" s="49" t="s">
        <v>54</v>
      </c>
      <c r="E71" s="142">
        <f>E69+E70</f>
        <v>14897.800000000003</v>
      </c>
      <c r="F71" s="142">
        <f t="shared" ref="F71:H71" si="5">F69+F70</f>
        <v>5651.8</v>
      </c>
      <c r="G71" s="142">
        <f t="shared" si="5"/>
        <v>2853.1000000000004</v>
      </c>
      <c r="H71" s="142">
        <f t="shared" si="5"/>
        <v>17696.500000000004</v>
      </c>
      <c r="I71" s="207">
        <v>20623</v>
      </c>
      <c r="J71" s="207">
        <v>24801</v>
      </c>
      <c r="K71" s="207">
        <v>30323</v>
      </c>
      <c r="L71" s="55">
        <f>I71*(1-YEARFRAC(I$64,L$64))+J71*YEARFRAC(I$64,L$64)</f>
        <v>21667.5</v>
      </c>
      <c r="M71" s="55">
        <f>J71*(1-YEARFRAC(J$64,M$64))+K71*YEARFRAC(J$64,M$64)</f>
        <v>26181.5</v>
      </c>
      <c r="O71" s="145">
        <f>IFERROR((K71/E71)^(1/3)-1,0)</f>
        <v>0.26731140157327182</v>
      </c>
    </row>
    <row r="72" spans="1:20" ht="6" customHeight="1" x14ac:dyDescent="0.5">
      <c r="E72" s="31"/>
      <c r="F72" s="31"/>
      <c r="G72" s="31"/>
      <c r="H72" s="31"/>
      <c r="I72" s="208"/>
      <c r="J72" s="208"/>
      <c r="K72" s="208"/>
    </row>
    <row r="73" spans="1:20" ht="18" x14ac:dyDescent="0.5">
      <c r="A73" s="3" t="s">
        <v>167</v>
      </c>
      <c r="E73" s="27">
        <f>1242.05*10</f>
        <v>12420.5</v>
      </c>
      <c r="F73" s="27">
        <f>459.29*10</f>
        <v>4592.9000000000005</v>
      </c>
      <c r="G73" s="27">
        <f>244.89*10</f>
        <v>2448.8999999999996</v>
      </c>
      <c r="H73" s="55">
        <f>E73+F73-G73</f>
        <v>14564.500000000002</v>
      </c>
      <c r="I73" s="208"/>
      <c r="J73" s="208"/>
      <c r="K73" s="208"/>
    </row>
    <row r="74" spans="1:20" ht="18" x14ac:dyDescent="0.5">
      <c r="A74" s="3" t="s">
        <v>55</v>
      </c>
      <c r="E74" s="135">
        <f>E68</f>
        <v>0</v>
      </c>
      <c r="F74" s="135">
        <f t="shared" ref="F74:H74" si="6">F68</f>
        <v>0</v>
      </c>
      <c r="G74" s="135">
        <f t="shared" si="6"/>
        <v>0</v>
      </c>
      <c r="H74" s="135">
        <f t="shared" si="6"/>
        <v>0</v>
      </c>
      <c r="I74" s="208"/>
      <c r="J74" s="208"/>
      <c r="K74" s="208"/>
    </row>
    <row r="75" spans="1:20" ht="18" x14ac:dyDescent="0.5">
      <c r="A75" s="3" t="s">
        <v>56</v>
      </c>
      <c r="E75" s="27">
        <f>8.19*10</f>
        <v>81.899999999999991</v>
      </c>
      <c r="F75" s="27">
        <f>0.42*10</f>
        <v>4.2</v>
      </c>
      <c r="G75" s="27">
        <f>0.37*10</f>
        <v>3.7</v>
      </c>
      <c r="H75" s="55">
        <f>E75+F75-G75</f>
        <v>82.399999999999991</v>
      </c>
      <c r="I75" s="208"/>
      <c r="J75" s="208"/>
      <c r="K75" s="208"/>
    </row>
    <row r="76" spans="1:20" ht="18" x14ac:dyDescent="0.5">
      <c r="A76" s="3" t="s">
        <v>57</v>
      </c>
      <c r="E76" s="135">
        <f>-2.06*10</f>
        <v>-20.6</v>
      </c>
      <c r="F76" s="135">
        <f>-0.11*10</f>
        <v>-1.1000000000000001</v>
      </c>
      <c r="G76" s="135">
        <f>-0.09*10</f>
        <v>-0.89999999999999991</v>
      </c>
      <c r="H76" s="55">
        <f>E76+F76-G76</f>
        <v>-20.800000000000004</v>
      </c>
      <c r="I76" s="208"/>
      <c r="J76" s="208"/>
      <c r="K76" s="208"/>
    </row>
    <row r="77" spans="1:20" s="49" customFormat="1" ht="17.399999999999999" thickBot="1" x14ac:dyDescent="0.5">
      <c r="A77" s="49" t="s">
        <v>120</v>
      </c>
      <c r="E77" s="143">
        <f>SUM(E73:E76)</f>
        <v>12481.8</v>
      </c>
      <c r="F77" s="143">
        <f t="shared" ref="F77:H77" si="7">SUM(F73:F76)</f>
        <v>4596</v>
      </c>
      <c r="G77" s="143">
        <f t="shared" si="7"/>
        <v>2451.6999999999994</v>
      </c>
      <c r="H77" s="143">
        <f t="shared" si="7"/>
        <v>14626.100000000002</v>
      </c>
      <c r="I77" s="207">
        <v>17018</v>
      </c>
      <c r="J77" s="207">
        <v>20325</v>
      </c>
      <c r="K77" s="207">
        <v>25051</v>
      </c>
      <c r="L77" s="55">
        <f>I77*(1-YEARFRAC(I$64,L$64))+J77*YEARFRAC(I$64,L$64)</f>
        <v>17844.75</v>
      </c>
      <c r="M77" s="55">
        <f>J77*(1-YEARFRAC(J$64,M$64))+K77*YEARFRAC(J$64,M$64)</f>
        <v>21506.5</v>
      </c>
      <c r="O77" s="145">
        <f>IFERROR((K77/E77)^(1/3)-1,0)</f>
        <v>0.26138970611032875</v>
      </c>
    </row>
    <row r="78" spans="1:20" ht="18" x14ac:dyDescent="0.5">
      <c r="E78" s="31"/>
      <c r="F78" s="31"/>
      <c r="G78" s="31"/>
      <c r="H78" s="31"/>
      <c r="I78" s="208"/>
      <c r="J78" s="208"/>
      <c r="K78" s="208"/>
    </row>
    <row r="79" spans="1:20" ht="18" x14ac:dyDescent="0.5">
      <c r="A79" s="3" t="s">
        <v>212</v>
      </c>
      <c r="E79" s="27">
        <f>211908375/ml</f>
        <v>211.90837500000001</v>
      </c>
      <c r="F79" s="27">
        <f>F73/21.68</f>
        <v>211.84963099631</v>
      </c>
      <c r="G79" s="27">
        <f>G73/11.57</f>
        <v>211.65946413137419</v>
      </c>
      <c r="H79" s="27">
        <f>211908375/ml</f>
        <v>211.90837500000001</v>
      </c>
      <c r="I79" s="208"/>
      <c r="J79" s="208"/>
      <c r="K79" s="208"/>
    </row>
    <row r="80" spans="1:20" ht="17.399999999999999" thickBot="1" x14ac:dyDescent="0.5">
      <c r="A80" s="3" t="s">
        <v>59</v>
      </c>
      <c r="E80" s="144">
        <f>E77/E79</f>
        <v>58.901872094484226</v>
      </c>
      <c r="F80" s="144">
        <f t="shared" ref="F80:H80" si="8">F77/F79</f>
        <v>21.694633020531686</v>
      </c>
      <c r="G80" s="144">
        <f t="shared" si="8"/>
        <v>11.583228796602556</v>
      </c>
      <c r="H80" s="144">
        <f t="shared" si="8"/>
        <v>69.020868099243373</v>
      </c>
      <c r="I80" s="210">
        <v>80.39</v>
      </c>
      <c r="J80" s="210">
        <v>95.91</v>
      </c>
      <c r="K80" s="210">
        <v>116.6</v>
      </c>
      <c r="L80" s="55">
        <f>I80*(1-YEARFRAC(I$64,L$64))+J80*YEARFRAC(I$64,L$64)</f>
        <v>84.27000000000001</v>
      </c>
      <c r="M80" s="55">
        <f>J80*(1-YEARFRAC(J$64,M$64))+K80*YEARFRAC(J$64,M$64)</f>
        <v>101.08250000000001</v>
      </c>
      <c r="O80" s="145">
        <f>IFERROR((K80/E80)^(1/3)-1,0)</f>
        <v>0.25561496747751322</v>
      </c>
    </row>
    <row r="82" spans="2:3" x14ac:dyDescent="0.45">
      <c r="C82" s="3" t="s">
        <v>213</v>
      </c>
    </row>
    <row r="83" spans="2:3" x14ac:dyDescent="0.45">
      <c r="B83" s="3" t="s">
        <v>214</v>
      </c>
      <c r="C83" s="3">
        <f>F32/H65</f>
        <v>16.773800648633863</v>
      </c>
    </row>
    <row r="84" spans="2:3" x14ac:dyDescent="0.45">
      <c r="B84" s="3" t="s">
        <v>215</v>
      </c>
      <c r="C84" s="3">
        <f>F32/H69</f>
        <v>113.29029381391304</v>
      </c>
    </row>
    <row r="85" spans="2:3" x14ac:dyDescent="0.45">
      <c r="B85" s="3" t="s">
        <v>216</v>
      </c>
      <c r="C85" s="3">
        <f>F32/H71</f>
        <v>105.36096553329752</v>
      </c>
    </row>
    <row r="86" spans="2:3" x14ac:dyDescent="0.45">
      <c r="B86" s="3" t="s">
        <v>217</v>
      </c>
      <c r="C86" s="3">
        <f>C15/H80</f>
        <v>130.68511376922075</v>
      </c>
    </row>
  </sheetData>
  <mergeCells count="7">
    <mergeCell ref="L62:M62"/>
    <mergeCell ref="B37:I37"/>
    <mergeCell ref="C38:C39"/>
    <mergeCell ref="F38:H38"/>
    <mergeCell ref="E56:E57"/>
    <mergeCell ref="F56:F57"/>
    <mergeCell ref="I62:K62"/>
  </mergeCells>
  <pageMargins left="0.7" right="0.7" top="0.75" bottom="0.75" header="0.3" footer="0.3"/>
  <pageSetup paperSize="9" orientation="portrait" horizontalDpi="300"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Drop Down 1">
              <controlPr defaultSize="0" autoLine="0" autoPict="0">
                <anchor moveWithCells="1">
                  <from>
                    <xdr:col>6</xdr:col>
                    <xdr:colOff>30480</xdr:colOff>
                    <xdr:row>19</xdr:row>
                    <xdr:rowOff>0</xdr:rowOff>
                  </from>
                  <to>
                    <xdr:col>7</xdr:col>
                    <xdr:colOff>144780</xdr:colOff>
                    <xdr:row>20</xdr:row>
                    <xdr:rowOff>7620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80"/>
  <sheetViews>
    <sheetView showGridLines="0" topLeftCell="C62" zoomScale="120" zoomScaleNormal="120" workbookViewId="0">
      <selection activeCell="O65" sqref="O65"/>
    </sheetView>
  </sheetViews>
  <sheetFormatPr defaultColWidth="11.44140625" defaultRowHeight="16.8" x14ac:dyDescent="0.45"/>
  <cols>
    <col min="1" max="1" width="3.21875" style="3" customWidth="1"/>
    <col min="2" max="2" width="33.77734375" style="3" customWidth="1"/>
    <col min="3" max="3" width="14.88671875" style="3" bestFit="1" customWidth="1"/>
    <col min="4" max="4" width="10.77734375" style="3" bestFit="1" customWidth="1"/>
    <col min="5" max="5" width="10.77734375" style="3" customWidth="1"/>
    <col min="6" max="7" width="11.21875" style="3" bestFit="1" customWidth="1"/>
    <col min="8" max="8" width="14" style="3" customWidth="1"/>
    <col min="9" max="9" width="13" style="3" customWidth="1"/>
    <col min="10" max="10" width="11.77734375" style="3" bestFit="1" customWidth="1"/>
    <col min="11" max="11" width="12" style="3" bestFit="1" customWidth="1"/>
    <col min="12" max="12" width="11.44140625" style="3"/>
    <col min="13" max="13" width="12" style="3" bestFit="1" customWidth="1"/>
    <col min="14" max="14" width="10.44140625" style="3" customWidth="1"/>
    <col min="15" max="15" width="11.77734375" style="3" bestFit="1" customWidth="1"/>
    <col min="16" max="16" width="11.21875" style="3" bestFit="1" customWidth="1"/>
    <col min="17" max="18" width="11.44140625" style="3"/>
    <col min="19" max="19" width="2.21875" style="3" customWidth="1"/>
    <col min="20" max="255" width="11.44140625" style="3"/>
    <col min="256" max="256" width="3.21875" style="3" customWidth="1"/>
    <col min="257" max="257" width="33.77734375" style="3" customWidth="1"/>
    <col min="258" max="258" width="11.44140625" style="3"/>
    <col min="259" max="259" width="10.77734375" style="3" bestFit="1" customWidth="1"/>
    <col min="260" max="260" width="10.77734375" style="3" customWidth="1"/>
    <col min="261" max="261" width="11.21875" style="3" bestFit="1" customWidth="1"/>
    <col min="262" max="262" width="11.44140625" style="3"/>
    <col min="263" max="263" width="12.44140625" style="3" customWidth="1"/>
    <col min="264" max="264" width="11.44140625" style="3"/>
    <col min="265" max="265" width="9.77734375" style="3" bestFit="1" customWidth="1"/>
    <col min="266" max="266" width="12" style="3" bestFit="1" customWidth="1"/>
    <col min="267" max="267" width="11.44140625" style="3"/>
    <col min="268" max="268" width="12" style="3" bestFit="1" customWidth="1"/>
    <col min="269" max="269" width="10.44140625" style="3" customWidth="1"/>
    <col min="270" max="270" width="11.77734375" style="3" bestFit="1" customWidth="1"/>
    <col min="271" max="271" width="11.21875" style="3" bestFit="1" customWidth="1"/>
    <col min="272" max="274" width="11.44140625" style="3"/>
    <col min="275" max="275" width="2.21875" style="3" customWidth="1"/>
    <col min="276" max="511" width="11.44140625" style="3"/>
    <col min="512" max="512" width="3.21875" style="3" customWidth="1"/>
    <col min="513" max="513" width="33.77734375" style="3" customWidth="1"/>
    <col min="514" max="514" width="11.44140625" style="3"/>
    <col min="515" max="515" width="10.77734375" style="3" bestFit="1" customWidth="1"/>
    <col min="516" max="516" width="10.77734375" style="3" customWidth="1"/>
    <col min="517" max="517" width="11.21875" style="3" bestFit="1" customWidth="1"/>
    <col min="518" max="518" width="11.44140625" style="3"/>
    <col min="519" max="519" width="12.44140625" style="3" customWidth="1"/>
    <col min="520" max="520" width="11.44140625" style="3"/>
    <col min="521" max="521" width="9.77734375" style="3" bestFit="1" customWidth="1"/>
    <col min="522" max="522" width="12" style="3" bestFit="1" customWidth="1"/>
    <col min="523" max="523" width="11.44140625" style="3"/>
    <col min="524" max="524" width="12" style="3" bestFit="1" customWidth="1"/>
    <col min="525" max="525" width="10.44140625" style="3" customWidth="1"/>
    <col min="526" max="526" width="11.77734375" style="3" bestFit="1" customWidth="1"/>
    <col min="527" max="527" width="11.21875" style="3" bestFit="1" customWidth="1"/>
    <col min="528" max="530" width="11.44140625" style="3"/>
    <col min="531" max="531" width="2.21875" style="3" customWidth="1"/>
    <col min="532" max="767" width="11.44140625" style="3"/>
    <col min="768" max="768" width="3.21875" style="3" customWidth="1"/>
    <col min="769" max="769" width="33.77734375" style="3" customWidth="1"/>
    <col min="770" max="770" width="11.44140625" style="3"/>
    <col min="771" max="771" width="10.77734375" style="3" bestFit="1" customWidth="1"/>
    <col min="772" max="772" width="10.77734375" style="3" customWidth="1"/>
    <col min="773" max="773" width="11.21875" style="3" bestFit="1" customWidth="1"/>
    <col min="774" max="774" width="11.44140625" style="3"/>
    <col min="775" max="775" width="12.44140625" style="3" customWidth="1"/>
    <col min="776" max="776" width="11.44140625" style="3"/>
    <col min="777" max="777" width="9.77734375" style="3" bestFit="1" customWidth="1"/>
    <col min="778" max="778" width="12" style="3" bestFit="1" customWidth="1"/>
    <col min="779" max="779" width="11.44140625" style="3"/>
    <col min="780" max="780" width="12" style="3" bestFit="1" customWidth="1"/>
    <col min="781" max="781" width="10.44140625" style="3" customWidth="1"/>
    <col min="782" max="782" width="11.77734375" style="3" bestFit="1" customWidth="1"/>
    <col min="783" max="783" width="11.21875" style="3" bestFit="1" customWidth="1"/>
    <col min="784" max="786" width="11.44140625" style="3"/>
    <col min="787" max="787" width="2.21875" style="3" customWidth="1"/>
    <col min="788" max="1023" width="11.44140625" style="3"/>
    <col min="1024" max="1024" width="3.21875" style="3" customWidth="1"/>
    <col min="1025" max="1025" width="33.77734375" style="3" customWidth="1"/>
    <col min="1026" max="1026" width="11.44140625" style="3"/>
    <col min="1027" max="1027" width="10.77734375" style="3" bestFit="1" customWidth="1"/>
    <col min="1028" max="1028" width="10.77734375" style="3" customWidth="1"/>
    <col min="1029" max="1029" width="11.21875" style="3" bestFit="1" customWidth="1"/>
    <col min="1030" max="1030" width="11.44140625" style="3"/>
    <col min="1031" max="1031" width="12.44140625" style="3" customWidth="1"/>
    <col min="1032" max="1032" width="11.44140625" style="3"/>
    <col min="1033" max="1033" width="9.77734375" style="3" bestFit="1" customWidth="1"/>
    <col min="1034" max="1034" width="12" style="3" bestFit="1" customWidth="1"/>
    <col min="1035" max="1035" width="11.44140625" style="3"/>
    <col min="1036" max="1036" width="12" style="3" bestFit="1" customWidth="1"/>
    <col min="1037" max="1037" width="10.44140625" style="3" customWidth="1"/>
    <col min="1038" max="1038" width="11.77734375" style="3" bestFit="1" customWidth="1"/>
    <col min="1039" max="1039" width="11.21875" style="3" bestFit="1" customWidth="1"/>
    <col min="1040" max="1042" width="11.44140625" style="3"/>
    <col min="1043" max="1043" width="2.21875" style="3" customWidth="1"/>
    <col min="1044" max="1279" width="11.44140625" style="3"/>
    <col min="1280" max="1280" width="3.21875" style="3" customWidth="1"/>
    <col min="1281" max="1281" width="33.77734375" style="3" customWidth="1"/>
    <col min="1282" max="1282" width="11.44140625" style="3"/>
    <col min="1283" max="1283" width="10.77734375" style="3" bestFit="1" customWidth="1"/>
    <col min="1284" max="1284" width="10.77734375" style="3" customWidth="1"/>
    <col min="1285" max="1285" width="11.21875" style="3" bestFit="1" customWidth="1"/>
    <col min="1286" max="1286" width="11.44140625" style="3"/>
    <col min="1287" max="1287" width="12.44140625" style="3" customWidth="1"/>
    <col min="1288" max="1288" width="11.44140625" style="3"/>
    <col min="1289" max="1289" width="9.77734375" style="3" bestFit="1" customWidth="1"/>
    <col min="1290" max="1290" width="12" style="3" bestFit="1" customWidth="1"/>
    <col min="1291" max="1291" width="11.44140625" style="3"/>
    <col min="1292" max="1292" width="12" style="3" bestFit="1" customWidth="1"/>
    <col min="1293" max="1293" width="10.44140625" style="3" customWidth="1"/>
    <col min="1294" max="1294" width="11.77734375" style="3" bestFit="1" customWidth="1"/>
    <col min="1295" max="1295" width="11.21875" style="3" bestFit="1" customWidth="1"/>
    <col min="1296" max="1298" width="11.44140625" style="3"/>
    <col min="1299" max="1299" width="2.21875" style="3" customWidth="1"/>
    <col min="1300" max="1535" width="11.44140625" style="3"/>
    <col min="1536" max="1536" width="3.21875" style="3" customWidth="1"/>
    <col min="1537" max="1537" width="33.77734375" style="3" customWidth="1"/>
    <col min="1538" max="1538" width="11.44140625" style="3"/>
    <col min="1539" max="1539" width="10.77734375" style="3" bestFit="1" customWidth="1"/>
    <col min="1540" max="1540" width="10.77734375" style="3" customWidth="1"/>
    <col min="1541" max="1541" width="11.21875" style="3" bestFit="1" customWidth="1"/>
    <col min="1542" max="1542" width="11.44140625" style="3"/>
    <col min="1543" max="1543" width="12.44140625" style="3" customWidth="1"/>
    <col min="1544" max="1544" width="11.44140625" style="3"/>
    <col min="1545" max="1545" width="9.77734375" style="3" bestFit="1" customWidth="1"/>
    <col min="1546" max="1546" width="12" style="3" bestFit="1" customWidth="1"/>
    <col min="1547" max="1547" width="11.44140625" style="3"/>
    <col min="1548" max="1548" width="12" style="3" bestFit="1" customWidth="1"/>
    <col min="1549" max="1549" width="10.44140625" style="3" customWidth="1"/>
    <col min="1550" max="1550" width="11.77734375" style="3" bestFit="1" customWidth="1"/>
    <col min="1551" max="1551" width="11.21875" style="3" bestFit="1" customWidth="1"/>
    <col min="1552" max="1554" width="11.44140625" style="3"/>
    <col min="1555" max="1555" width="2.21875" style="3" customWidth="1"/>
    <col min="1556" max="1791" width="11.44140625" style="3"/>
    <col min="1792" max="1792" width="3.21875" style="3" customWidth="1"/>
    <col min="1793" max="1793" width="33.77734375" style="3" customWidth="1"/>
    <col min="1794" max="1794" width="11.44140625" style="3"/>
    <col min="1795" max="1795" width="10.77734375" style="3" bestFit="1" customWidth="1"/>
    <col min="1796" max="1796" width="10.77734375" style="3" customWidth="1"/>
    <col min="1797" max="1797" width="11.21875" style="3" bestFit="1" customWidth="1"/>
    <col min="1798" max="1798" width="11.44140625" style="3"/>
    <col min="1799" max="1799" width="12.44140625" style="3" customWidth="1"/>
    <col min="1800" max="1800" width="11.44140625" style="3"/>
    <col min="1801" max="1801" width="9.77734375" style="3" bestFit="1" customWidth="1"/>
    <col min="1802" max="1802" width="12" style="3" bestFit="1" customWidth="1"/>
    <col min="1803" max="1803" width="11.44140625" style="3"/>
    <col min="1804" max="1804" width="12" style="3" bestFit="1" customWidth="1"/>
    <col min="1805" max="1805" width="10.44140625" style="3" customWidth="1"/>
    <col min="1806" max="1806" width="11.77734375" style="3" bestFit="1" customWidth="1"/>
    <col min="1807" max="1807" width="11.21875" style="3" bestFit="1" customWidth="1"/>
    <col min="1808" max="1810" width="11.44140625" style="3"/>
    <col min="1811" max="1811" width="2.21875" style="3" customWidth="1"/>
    <col min="1812" max="2047" width="11.44140625" style="3"/>
    <col min="2048" max="2048" width="3.21875" style="3" customWidth="1"/>
    <col min="2049" max="2049" width="33.77734375" style="3" customWidth="1"/>
    <col min="2050" max="2050" width="11.44140625" style="3"/>
    <col min="2051" max="2051" width="10.77734375" style="3" bestFit="1" customWidth="1"/>
    <col min="2052" max="2052" width="10.77734375" style="3" customWidth="1"/>
    <col min="2053" max="2053" width="11.21875" style="3" bestFit="1" customWidth="1"/>
    <col min="2054" max="2054" width="11.44140625" style="3"/>
    <col min="2055" max="2055" width="12.44140625" style="3" customWidth="1"/>
    <col min="2056" max="2056" width="11.44140625" style="3"/>
    <col min="2057" max="2057" width="9.77734375" style="3" bestFit="1" customWidth="1"/>
    <col min="2058" max="2058" width="12" style="3" bestFit="1" customWidth="1"/>
    <col min="2059" max="2059" width="11.44140625" style="3"/>
    <col min="2060" max="2060" width="12" style="3" bestFit="1" customWidth="1"/>
    <col min="2061" max="2061" width="10.44140625" style="3" customWidth="1"/>
    <col min="2062" max="2062" width="11.77734375" style="3" bestFit="1" customWidth="1"/>
    <col min="2063" max="2063" width="11.21875" style="3" bestFit="1" customWidth="1"/>
    <col min="2064" max="2066" width="11.44140625" style="3"/>
    <col min="2067" max="2067" width="2.21875" style="3" customWidth="1"/>
    <col min="2068" max="2303" width="11.44140625" style="3"/>
    <col min="2304" max="2304" width="3.21875" style="3" customWidth="1"/>
    <col min="2305" max="2305" width="33.77734375" style="3" customWidth="1"/>
    <col min="2306" max="2306" width="11.44140625" style="3"/>
    <col min="2307" max="2307" width="10.77734375" style="3" bestFit="1" customWidth="1"/>
    <col min="2308" max="2308" width="10.77734375" style="3" customWidth="1"/>
    <col min="2309" max="2309" width="11.21875" style="3" bestFit="1" customWidth="1"/>
    <col min="2310" max="2310" width="11.44140625" style="3"/>
    <col min="2311" max="2311" width="12.44140625" style="3" customWidth="1"/>
    <col min="2312" max="2312" width="11.44140625" style="3"/>
    <col min="2313" max="2313" width="9.77734375" style="3" bestFit="1" customWidth="1"/>
    <col min="2314" max="2314" width="12" style="3" bestFit="1" customWidth="1"/>
    <col min="2315" max="2315" width="11.44140625" style="3"/>
    <col min="2316" max="2316" width="12" style="3" bestFit="1" customWidth="1"/>
    <col min="2317" max="2317" width="10.44140625" style="3" customWidth="1"/>
    <col min="2318" max="2318" width="11.77734375" style="3" bestFit="1" customWidth="1"/>
    <col min="2319" max="2319" width="11.21875" style="3" bestFit="1" customWidth="1"/>
    <col min="2320" max="2322" width="11.44140625" style="3"/>
    <col min="2323" max="2323" width="2.21875" style="3" customWidth="1"/>
    <col min="2324" max="2559" width="11.44140625" style="3"/>
    <col min="2560" max="2560" width="3.21875" style="3" customWidth="1"/>
    <col min="2561" max="2561" width="33.77734375" style="3" customWidth="1"/>
    <col min="2562" max="2562" width="11.44140625" style="3"/>
    <col min="2563" max="2563" width="10.77734375" style="3" bestFit="1" customWidth="1"/>
    <col min="2564" max="2564" width="10.77734375" style="3" customWidth="1"/>
    <col min="2565" max="2565" width="11.21875" style="3" bestFit="1" customWidth="1"/>
    <col min="2566" max="2566" width="11.44140625" style="3"/>
    <col min="2567" max="2567" width="12.44140625" style="3" customWidth="1"/>
    <col min="2568" max="2568" width="11.44140625" style="3"/>
    <col min="2569" max="2569" width="9.77734375" style="3" bestFit="1" customWidth="1"/>
    <col min="2570" max="2570" width="12" style="3" bestFit="1" customWidth="1"/>
    <col min="2571" max="2571" width="11.44140625" style="3"/>
    <col min="2572" max="2572" width="12" style="3" bestFit="1" customWidth="1"/>
    <col min="2573" max="2573" width="10.44140625" style="3" customWidth="1"/>
    <col min="2574" max="2574" width="11.77734375" style="3" bestFit="1" customWidth="1"/>
    <col min="2575" max="2575" width="11.21875" style="3" bestFit="1" customWidth="1"/>
    <col min="2576" max="2578" width="11.44140625" style="3"/>
    <col min="2579" max="2579" width="2.21875" style="3" customWidth="1"/>
    <col min="2580" max="2815" width="11.44140625" style="3"/>
    <col min="2816" max="2816" width="3.21875" style="3" customWidth="1"/>
    <col min="2817" max="2817" width="33.77734375" style="3" customWidth="1"/>
    <col min="2818" max="2818" width="11.44140625" style="3"/>
    <col min="2819" max="2819" width="10.77734375" style="3" bestFit="1" customWidth="1"/>
    <col min="2820" max="2820" width="10.77734375" style="3" customWidth="1"/>
    <col min="2821" max="2821" width="11.21875" style="3" bestFit="1" customWidth="1"/>
    <col min="2822" max="2822" width="11.44140625" style="3"/>
    <col min="2823" max="2823" width="12.44140625" style="3" customWidth="1"/>
    <col min="2824" max="2824" width="11.44140625" style="3"/>
    <col min="2825" max="2825" width="9.77734375" style="3" bestFit="1" customWidth="1"/>
    <col min="2826" max="2826" width="12" style="3" bestFit="1" customWidth="1"/>
    <col min="2827" max="2827" width="11.44140625" style="3"/>
    <col min="2828" max="2828" width="12" style="3" bestFit="1" customWidth="1"/>
    <col min="2829" max="2829" width="10.44140625" style="3" customWidth="1"/>
    <col min="2830" max="2830" width="11.77734375" style="3" bestFit="1" customWidth="1"/>
    <col min="2831" max="2831" width="11.21875" style="3" bestFit="1" customWidth="1"/>
    <col min="2832" max="2834" width="11.44140625" style="3"/>
    <col min="2835" max="2835" width="2.21875" style="3" customWidth="1"/>
    <col min="2836" max="3071" width="11.44140625" style="3"/>
    <col min="3072" max="3072" width="3.21875" style="3" customWidth="1"/>
    <col min="3073" max="3073" width="33.77734375" style="3" customWidth="1"/>
    <col min="3074" max="3074" width="11.44140625" style="3"/>
    <col min="3075" max="3075" width="10.77734375" style="3" bestFit="1" customWidth="1"/>
    <col min="3076" max="3076" width="10.77734375" style="3" customWidth="1"/>
    <col min="3077" max="3077" width="11.21875" style="3" bestFit="1" customWidth="1"/>
    <col min="3078" max="3078" width="11.44140625" style="3"/>
    <col min="3079" max="3079" width="12.44140625" style="3" customWidth="1"/>
    <col min="3080" max="3080" width="11.44140625" style="3"/>
    <col min="3081" max="3081" width="9.77734375" style="3" bestFit="1" customWidth="1"/>
    <col min="3082" max="3082" width="12" style="3" bestFit="1" customWidth="1"/>
    <col min="3083" max="3083" width="11.44140625" style="3"/>
    <col min="3084" max="3084" width="12" style="3" bestFit="1" customWidth="1"/>
    <col min="3085" max="3085" width="10.44140625" style="3" customWidth="1"/>
    <col min="3086" max="3086" width="11.77734375" style="3" bestFit="1" customWidth="1"/>
    <col min="3087" max="3087" width="11.21875" style="3" bestFit="1" customWidth="1"/>
    <col min="3088" max="3090" width="11.44140625" style="3"/>
    <col min="3091" max="3091" width="2.21875" style="3" customWidth="1"/>
    <col min="3092" max="3327" width="11.44140625" style="3"/>
    <col min="3328" max="3328" width="3.21875" style="3" customWidth="1"/>
    <col min="3329" max="3329" width="33.77734375" style="3" customWidth="1"/>
    <col min="3330" max="3330" width="11.44140625" style="3"/>
    <col min="3331" max="3331" width="10.77734375" style="3" bestFit="1" customWidth="1"/>
    <col min="3332" max="3332" width="10.77734375" style="3" customWidth="1"/>
    <col min="3333" max="3333" width="11.21875" style="3" bestFit="1" customWidth="1"/>
    <col min="3334" max="3334" width="11.44140625" style="3"/>
    <col min="3335" max="3335" width="12.44140625" style="3" customWidth="1"/>
    <col min="3336" max="3336" width="11.44140625" style="3"/>
    <col min="3337" max="3337" width="9.77734375" style="3" bestFit="1" customWidth="1"/>
    <col min="3338" max="3338" width="12" style="3" bestFit="1" customWidth="1"/>
    <col min="3339" max="3339" width="11.44140625" style="3"/>
    <col min="3340" max="3340" width="12" style="3" bestFit="1" customWidth="1"/>
    <col min="3341" max="3341" width="10.44140625" style="3" customWidth="1"/>
    <col min="3342" max="3342" width="11.77734375" style="3" bestFit="1" customWidth="1"/>
    <col min="3343" max="3343" width="11.21875" style="3" bestFit="1" customWidth="1"/>
    <col min="3344" max="3346" width="11.44140625" style="3"/>
    <col min="3347" max="3347" width="2.21875" style="3" customWidth="1"/>
    <col min="3348" max="3583" width="11.44140625" style="3"/>
    <col min="3584" max="3584" width="3.21875" style="3" customWidth="1"/>
    <col min="3585" max="3585" width="33.77734375" style="3" customWidth="1"/>
    <col min="3586" max="3586" width="11.44140625" style="3"/>
    <col min="3587" max="3587" width="10.77734375" style="3" bestFit="1" customWidth="1"/>
    <col min="3588" max="3588" width="10.77734375" style="3" customWidth="1"/>
    <col min="3589" max="3589" width="11.21875" style="3" bestFit="1" customWidth="1"/>
    <col min="3590" max="3590" width="11.44140625" style="3"/>
    <col min="3591" max="3591" width="12.44140625" style="3" customWidth="1"/>
    <col min="3592" max="3592" width="11.44140625" style="3"/>
    <col min="3593" max="3593" width="9.77734375" style="3" bestFit="1" customWidth="1"/>
    <col min="3594" max="3594" width="12" style="3" bestFit="1" customWidth="1"/>
    <col min="3595" max="3595" width="11.44140625" style="3"/>
    <col min="3596" max="3596" width="12" style="3" bestFit="1" customWidth="1"/>
    <col min="3597" max="3597" width="10.44140625" style="3" customWidth="1"/>
    <col min="3598" max="3598" width="11.77734375" style="3" bestFit="1" customWidth="1"/>
    <col min="3599" max="3599" width="11.21875" style="3" bestFit="1" customWidth="1"/>
    <col min="3600" max="3602" width="11.44140625" style="3"/>
    <col min="3603" max="3603" width="2.21875" style="3" customWidth="1"/>
    <col min="3604" max="3839" width="11.44140625" style="3"/>
    <col min="3840" max="3840" width="3.21875" style="3" customWidth="1"/>
    <col min="3841" max="3841" width="33.77734375" style="3" customWidth="1"/>
    <col min="3842" max="3842" width="11.44140625" style="3"/>
    <col min="3843" max="3843" width="10.77734375" style="3" bestFit="1" customWidth="1"/>
    <col min="3844" max="3844" width="10.77734375" style="3" customWidth="1"/>
    <col min="3845" max="3845" width="11.21875" style="3" bestFit="1" customWidth="1"/>
    <col min="3846" max="3846" width="11.44140625" style="3"/>
    <col min="3847" max="3847" width="12.44140625" style="3" customWidth="1"/>
    <col min="3848" max="3848" width="11.44140625" style="3"/>
    <col min="3849" max="3849" width="9.77734375" style="3" bestFit="1" customWidth="1"/>
    <col min="3850" max="3850" width="12" style="3" bestFit="1" customWidth="1"/>
    <col min="3851" max="3851" width="11.44140625" style="3"/>
    <col min="3852" max="3852" width="12" style="3" bestFit="1" customWidth="1"/>
    <col min="3853" max="3853" width="10.44140625" style="3" customWidth="1"/>
    <col min="3854" max="3854" width="11.77734375" style="3" bestFit="1" customWidth="1"/>
    <col min="3855" max="3855" width="11.21875" style="3" bestFit="1" customWidth="1"/>
    <col min="3856" max="3858" width="11.44140625" style="3"/>
    <col min="3859" max="3859" width="2.21875" style="3" customWidth="1"/>
    <col min="3860" max="4095" width="11.44140625" style="3"/>
    <col min="4096" max="4096" width="3.21875" style="3" customWidth="1"/>
    <col min="4097" max="4097" width="33.77734375" style="3" customWidth="1"/>
    <col min="4098" max="4098" width="11.44140625" style="3"/>
    <col min="4099" max="4099" width="10.77734375" style="3" bestFit="1" customWidth="1"/>
    <col min="4100" max="4100" width="10.77734375" style="3" customWidth="1"/>
    <col min="4101" max="4101" width="11.21875" style="3" bestFit="1" customWidth="1"/>
    <col min="4102" max="4102" width="11.44140625" style="3"/>
    <col min="4103" max="4103" width="12.44140625" style="3" customWidth="1"/>
    <col min="4104" max="4104" width="11.44140625" style="3"/>
    <col min="4105" max="4105" width="9.77734375" style="3" bestFit="1" customWidth="1"/>
    <col min="4106" max="4106" width="12" style="3" bestFit="1" customWidth="1"/>
    <col min="4107" max="4107" width="11.44140625" style="3"/>
    <col min="4108" max="4108" width="12" style="3" bestFit="1" customWidth="1"/>
    <col min="4109" max="4109" width="10.44140625" style="3" customWidth="1"/>
    <col min="4110" max="4110" width="11.77734375" style="3" bestFit="1" customWidth="1"/>
    <col min="4111" max="4111" width="11.21875" style="3" bestFit="1" customWidth="1"/>
    <col min="4112" max="4114" width="11.44140625" style="3"/>
    <col min="4115" max="4115" width="2.21875" style="3" customWidth="1"/>
    <col min="4116" max="4351" width="11.44140625" style="3"/>
    <col min="4352" max="4352" width="3.21875" style="3" customWidth="1"/>
    <col min="4353" max="4353" width="33.77734375" style="3" customWidth="1"/>
    <col min="4354" max="4354" width="11.44140625" style="3"/>
    <col min="4355" max="4355" width="10.77734375" style="3" bestFit="1" customWidth="1"/>
    <col min="4356" max="4356" width="10.77734375" style="3" customWidth="1"/>
    <col min="4357" max="4357" width="11.21875" style="3" bestFit="1" customWidth="1"/>
    <col min="4358" max="4358" width="11.44140625" style="3"/>
    <col min="4359" max="4359" width="12.44140625" style="3" customWidth="1"/>
    <col min="4360" max="4360" width="11.44140625" style="3"/>
    <col min="4361" max="4361" width="9.77734375" style="3" bestFit="1" customWidth="1"/>
    <col min="4362" max="4362" width="12" style="3" bestFit="1" customWidth="1"/>
    <col min="4363" max="4363" width="11.44140625" style="3"/>
    <col min="4364" max="4364" width="12" style="3" bestFit="1" customWidth="1"/>
    <col min="4365" max="4365" width="10.44140625" style="3" customWidth="1"/>
    <col min="4366" max="4366" width="11.77734375" style="3" bestFit="1" customWidth="1"/>
    <col min="4367" max="4367" width="11.21875" style="3" bestFit="1" customWidth="1"/>
    <col min="4368" max="4370" width="11.44140625" style="3"/>
    <col min="4371" max="4371" width="2.21875" style="3" customWidth="1"/>
    <col min="4372" max="4607" width="11.44140625" style="3"/>
    <col min="4608" max="4608" width="3.21875" style="3" customWidth="1"/>
    <col min="4609" max="4609" width="33.77734375" style="3" customWidth="1"/>
    <col min="4610" max="4610" width="11.44140625" style="3"/>
    <col min="4611" max="4611" width="10.77734375" style="3" bestFit="1" customWidth="1"/>
    <col min="4612" max="4612" width="10.77734375" style="3" customWidth="1"/>
    <col min="4613" max="4613" width="11.21875" style="3" bestFit="1" customWidth="1"/>
    <col min="4614" max="4614" width="11.44140625" style="3"/>
    <col min="4615" max="4615" width="12.44140625" style="3" customWidth="1"/>
    <col min="4616" max="4616" width="11.44140625" style="3"/>
    <col min="4617" max="4617" width="9.77734375" style="3" bestFit="1" customWidth="1"/>
    <col min="4618" max="4618" width="12" style="3" bestFit="1" customWidth="1"/>
    <col min="4619" max="4619" width="11.44140625" style="3"/>
    <col min="4620" max="4620" width="12" style="3" bestFit="1" customWidth="1"/>
    <col min="4621" max="4621" width="10.44140625" style="3" customWidth="1"/>
    <col min="4622" max="4622" width="11.77734375" style="3" bestFit="1" customWidth="1"/>
    <col min="4623" max="4623" width="11.21875" style="3" bestFit="1" customWidth="1"/>
    <col min="4624" max="4626" width="11.44140625" style="3"/>
    <col min="4627" max="4627" width="2.21875" style="3" customWidth="1"/>
    <col min="4628" max="4863" width="11.44140625" style="3"/>
    <col min="4864" max="4864" width="3.21875" style="3" customWidth="1"/>
    <col min="4865" max="4865" width="33.77734375" style="3" customWidth="1"/>
    <col min="4866" max="4866" width="11.44140625" style="3"/>
    <col min="4867" max="4867" width="10.77734375" style="3" bestFit="1" customWidth="1"/>
    <col min="4868" max="4868" width="10.77734375" style="3" customWidth="1"/>
    <col min="4869" max="4869" width="11.21875" style="3" bestFit="1" customWidth="1"/>
    <col min="4870" max="4870" width="11.44140625" style="3"/>
    <col min="4871" max="4871" width="12.44140625" style="3" customWidth="1"/>
    <col min="4872" max="4872" width="11.44140625" style="3"/>
    <col min="4873" max="4873" width="9.77734375" style="3" bestFit="1" customWidth="1"/>
    <col min="4874" max="4874" width="12" style="3" bestFit="1" customWidth="1"/>
    <col min="4875" max="4875" width="11.44140625" style="3"/>
    <col min="4876" max="4876" width="12" style="3" bestFit="1" customWidth="1"/>
    <col min="4877" max="4877" width="10.44140625" style="3" customWidth="1"/>
    <col min="4878" max="4878" width="11.77734375" style="3" bestFit="1" customWidth="1"/>
    <col min="4879" max="4879" width="11.21875" style="3" bestFit="1" customWidth="1"/>
    <col min="4880" max="4882" width="11.44140625" style="3"/>
    <col min="4883" max="4883" width="2.21875" style="3" customWidth="1"/>
    <col min="4884" max="5119" width="11.44140625" style="3"/>
    <col min="5120" max="5120" width="3.21875" style="3" customWidth="1"/>
    <col min="5121" max="5121" width="33.77734375" style="3" customWidth="1"/>
    <col min="5122" max="5122" width="11.44140625" style="3"/>
    <col min="5123" max="5123" width="10.77734375" style="3" bestFit="1" customWidth="1"/>
    <col min="5124" max="5124" width="10.77734375" style="3" customWidth="1"/>
    <col min="5125" max="5125" width="11.21875" style="3" bestFit="1" customWidth="1"/>
    <col min="5126" max="5126" width="11.44140625" style="3"/>
    <col min="5127" max="5127" width="12.44140625" style="3" customWidth="1"/>
    <col min="5128" max="5128" width="11.44140625" style="3"/>
    <col min="5129" max="5129" width="9.77734375" style="3" bestFit="1" customWidth="1"/>
    <col min="5130" max="5130" width="12" style="3" bestFit="1" customWidth="1"/>
    <col min="5131" max="5131" width="11.44140625" style="3"/>
    <col min="5132" max="5132" width="12" style="3" bestFit="1" customWidth="1"/>
    <col min="5133" max="5133" width="10.44140625" style="3" customWidth="1"/>
    <col min="5134" max="5134" width="11.77734375" style="3" bestFit="1" customWidth="1"/>
    <col min="5135" max="5135" width="11.21875" style="3" bestFit="1" customWidth="1"/>
    <col min="5136" max="5138" width="11.44140625" style="3"/>
    <col min="5139" max="5139" width="2.21875" style="3" customWidth="1"/>
    <col min="5140" max="5375" width="11.44140625" style="3"/>
    <col min="5376" max="5376" width="3.21875" style="3" customWidth="1"/>
    <col min="5377" max="5377" width="33.77734375" style="3" customWidth="1"/>
    <col min="5378" max="5378" width="11.44140625" style="3"/>
    <col min="5379" max="5379" width="10.77734375" style="3" bestFit="1" customWidth="1"/>
    <col min="5380" max="5380" width="10.77734375" style="3" customWidth="1"/>
    <col min="5381" max="5381" width="11.21875" style="3" bestFit="1" customWidth="1"/>
    <col min="5382" max="5382" width="11.44140625" style="3"/>
    <col min="5383" max="5383" width="12.44140625" style="3" customWidth="1"/>
    <col min="5384" max="5384" width="11.44140625" style="3"/>
    <col min="5385" max="5385" width="9.77734375" style="3" bestFit="1" customWidth="1"/>
    <col min="5386" max="5386" width="12" style="3" bestFit="1" customWidth="1"/>
    <col min="5387" max="5387" width="11.44140625" style="3"/>
    <col min="5388" max="5388" width="12" style="3" bestFit="1" customWidth="1"/>
    <col min="5389" max="5389" width="10.44140625" style="3" customWidth="1"/>
    <col min="5390" max="5390" width="11.77734375" style="3" bestFit="1" customWidth="1"/>
    <col min="5391" max="5391" width="11.21875" style="3" bestFit="1" customWidth="1"/>
    <col min="5392" max="5394" width="11.44140625" style="3"/>
    <col min="5395" max="5395" width="2.21875" style="3" customWidth="1"/>
    <col min="5396" max="5631" width="11.44140625" style="3"/>
    <col min="5632" max="5632" width="3.21875" style="3" customWidth="1"/>
    <col min="5633" max="5633" width="33.77734375" style="3" customWidth="1"/>
    <col min="5634" max="5634" width="11.44140625" style="3"/>
    <col min="5635" max="5635" width="10.77734375" style="3" bestFit="1" customWidth="1"/>
    <col min="5636" max="5636" width="10.77734375" style="3" customWidth="1"/>
    <col min="5637" max="5637" width="11.21875" style="3" bestFit="1" customWidth="1"/>
    <col min="5638" max="5638" width="11.44140625" style="3"/>
    <col min="5639" max="5639" width="12.44140625" style="3" customWidth="1"/>
    <col min="5640" max="5640" width="11.44140625" style="3"/>
    <col min="5641" max="5641" width="9.77734375" style="3" bestFit="1" customWidth="1"/>
    <col min="5642" max="5642" width="12" style="3" bestFit="1" customWidth="1"/>
    <col min="5643" max="5643" width="11.44140625" style="3"/>
    <col min="5644" max="5644" width="12" style="3" bestFit="1" customWidth="1"/>
    <col min="5645" max="5645" width="10.44140625" style="3" customWidth="1"/>
    <col min="5646" max="5646" width="11.77734375" style="3" bestFit="1" customWidth="1"/>
    <col min="5647" max="5647" width="11.21875" style="3" bestFit="1" customWidth="1"/>
    <col min="5648" max="5650" width="11.44140625" style="3"/>
    <col min="5651" max="5651" width="2.21875" style="3" customWidth="1"/>
    <col min="5652" max="5887" width="11.44140625" style="3"/>
    <col min="5888" max="5888" width="3.21875" style="3" customWidth="1"/>
    <col min="5889" max="5889" width="33.77734375" style="3" customWidth="1"/>
    <col min="5890" max="5890" width="11.44140625" style="3"/>
    <col min="5891" max="5891" width="10.77734375" style="3" bestFit="1" customWidth="1"/>
    <col min="5892" max="5892" width="10.77734375" style="3" customWidth="1"/>
    <col min="5893" max="5893" width="11.21875" style="3" bestFit="1" customWidth="1"/>
    <col min="5894" max="5894" width="11.44140625" style="3"/>
    <col min="5895" max="5895" width="12.44140625" style="3" customWidth="1"/>
    <col min="5896" max="5896" width="11.44140625" style="3"/>
    <col min="5897" max="5897" width="9.77734375" style="3" bestFit="1" customWidth="1"/>
    <col min="5898" max="5898" width="12" style="3" bestFit="1" customWidth="1"/>
    <col min="5899" max="5899" width="11.44140625" style="3"/>
    <col min="5900" max="5900" width="12" style="3" bestFit="1" customWidth="1"/>
    <col min="5901" max="5901" width="10.44140625" style="3" customWidth="1"/>
    <col min="5902" max="5902" width="11.77734375" style="3" bestFit="1" customWidth="1"/>
    <col min="5903" max="5903" width="11.21875" style="3" bestFit="1" customWidth="1"/>
    <col min="5904" max="5906" width="11.44140625" style="3"/>
    <col min="5907" max="5907" width="2.21875" style="3" customWidth="1"/>
    <col min="5908" max="6143" width="11.44140625" style="3"/>
    <col min="6144" max="6144" width="3.21875" style="3" customWidth="1"/>
    <col min="6145" max="6145" width="33.77734375" style="3" customWidth="1"/>
    <col min="6146" max="6146" width="11.44140625" style="3"/>
    <col min="6147" max="6147" width="10.77734375" style="3" bestFit="1" customWidth="1"/>
    <col min="6148" max="6148" width="10.77734375" style="3" customWidth="1"/>
    <col min="6149" max="6149" width="11.21875" style="3" bestFit="1" customWidth="1"/>
    <col min="6150" max="6150" width="11.44140625" style="3"/>
    <col min="6151" max="6151" width="12.44140625" style="3" customWidth="1"/>
    <col min="6152" max="6152" width="11.44140625" style="3"/>
    <col min="6153" max="6153" width="9.77734375" style="3" bestFit="1" customWidth="1"/>
    <col min="6154" max="6154" width="12" style="3" bestFit="1" customWidth="1"/>
    <col min="6155" max="6155" width="11.44140625" style="3"/>
    <col min="6156" max="6156" width="12" style="3" bestFit="1" customWidth="1"/>
    <col min="6157" max="6157" width="10.44140625" style="3" customWidth="1"/>
    <col min="6158" max="6158" width="11.77734375" style="3" bestFit="1" customWidth="1"/>
    <col min="6159" max="6159" width="11.21875" style="3" bestFit="1" customWidth="1"/>
    <col min="6160" max="6162" width="11.44140625" style="3"/>
    <col min="6163" max="6163" width="2.21875" style="3" customWidth="1"/>
    <col min="6164" max="6399" width="11.44140625" style="3"/>
    <col min="6400" max="6400" width="3.21875" style="3" customWidth="1"/>
    <col min="6401" max="6401" width="33.77734375" style="3" customWidth="1"/>
    <col min="6402" max="6402" width="11.44140625" style="3"/>
    <col min="6403" max="6403" width="10.77734375" style="3" bestFit="1" customWidth="1"/>
    <col min="6404" max="6404" width="10.77734375" style="3" customWidth="1"/>
    <col min="6405" max="6405" width="11.21875" style="3" bestFit="1" customWidth="1"/>
    <col min="6406" max="6406" width="11.44140625" style="3"/>
    <col min="6407" max="6407" width="12.44140625" style="3" customWidth="1"/>
    <col min="6408" max="6408" width="11.44140625" style="3"/>
    <col min="6409" max="6409" width="9.77734375" style="3" bestFit="1" customWidth="1"/>
    <col min="6410" max="6410" width="12" style="3" bestFit="1" customWidth="1"/>
    <col min="6411" max="6411" width="11.44140625" style="3"/>
    <col min="6412" max="6412" width="12" style="3" bestFit="1" customWidth="1"/>
    <col min="6413" max="6413" width="10.44140625" style="3" customWidth="1"/>
    <col min="6414" max="6414" width="11.77734375" style="3" bestFit="1" customWidth="1"/>
    <col min="6415" max="6415" width="11.21875" style="3" bestFit="1" customWidth="1"/>
    <col min="6416" max="6418" width="11.44140625" style="3"/>
    <col min="6419" max="6419" width="2.21875" style="3" customWidth="1"/>
    <col min="6420" max="6655" width="11.44140625" style="3"/>
    <col min="6656" max="6656" width="3.21875" style="3" customWidth="1"/>
    <col min="6657" max="6657" width="33.77734375" style="3" customWidth="1"/>
    <col min="6658" max="6658" width="11.44140625" style="3"/>
    <col min="6659" max="6659" width="10.77734375" style="3" bestFit="1" customWidth="1"/>
    <col min="6660" max="6660" width="10.77734375" style="3" customWidth="1"/>
    <col min="6661" max="6661" width="11.21875" style="3" bestFit="1" customWidth="1"/>
    <col min="6662" max="6662" width="11.44140625" style="3"/>
    <col min="6663" max="6663" width="12.44140625" style="3" customWidth="1"/>
    <col min="6664" max="6664" width="11.44140625" style="3"/>
    <col min="6665" max="6665" width="9.77734375" style="3" bestFit="1" customWidth="1"/>
    <col min="6666" max="6666" width="12" style="3" bestFit="1" customWidth="1"/>
    <col min="6667" max="6667" width="11.44140625" style="3"/>
    <col min="6668" max="6668" width="12" style="3" bestFit="1" customWidth="1"/>
    <col min="6669" max="6669" width="10.44140625" style="3" customWidth="1"/>
    <col min="6670" max="6670" width="11.77734375" style="3" bestFit="1" customWidth="1"/>
    <col min="6671" max="6671" width="11.21875" style="3" bestFit="1" customWidth="1"/>
    <col min="6672" max="6674" width="11.44140625" style="3"/>
    <col min="6675" max="6675" width="2.21875" style="3" customWidth="1"/>
    <col min="6676" max="6911" width="11.44140625" style="3"/>
    <col min="6912" max="6912" width="3.21875" style="3" customWidth="1"/>
    <col min="6913" max="6913" width="33.77734375" style="3" customWidth="1"/>
    <col min="6914" max="6914" width="11.44140625" style="3"/>
    <col min="6915" max="6915" width="10.77734375" style="3" bestFit="1" customWidth="1"/>
    <col min="6916" max="6916" width="10.77734375" style="3" customWidth="1"/>
    <col min="6917" max="6917" width="11.21875" style="3" bestFit="1" customWidth="1"/>
    <col min="6918" max="6918" width="11.44140625" style="3"/>
    <col min="6919" max="6919" width="12.44140625" style="3" customWidth="1"/>
    <col min="6920" max="6920" width="11.44140625" style="3"/>
    <col min="6921" max="6921" width="9.77734375" style="3" bestFit="1" customWidth="1"/>
    <col min="6922" max="6922" width="12" style="3" bestFit="1" customWidth="1"/>
    <col min="6923" max="6923" width="11.44140625" style="3"/>
    <col min="6924" max="6924" width="12" style="3" bestFit="1" customWidth="1"/>
    <col min="6925" max="6925" width="10.44140625" style="3" customWidth="1"/>
    <col min="6926" max="6926" width="11.77734375" style="3" bestFit="1" customWidth="1"/>
    <col min="6927" max="6927" width="11.21875" style="3" bestFit="1" customWidth="1"/>
    <col min="6928" max="6930" width="11.44140625" style="3"/>
    <col min="6931" max="6931" width="2.21875" style="3" customWidth="1"/>
    <col min="6932" max="7167" width="11.44140625" style="3"/>
    <col min="7168" max="7168" width="3.21875" style="3" customWidth="1"/>
    <col min="7169" max="7169" width="33.77734375" style="3" customWidth="1"/>
    <col min="7170" max="7170" width="11.44140625" style="3"/>
    <col min="7171" max="7171" width="10.77734375" style="3" bestFit="1" customWidth="1"/>
    <col min="7172" max="7172" width="10.77734375" style="3" customWidth="1"/>
    <col min="7173" max="7173" width="11.21875" style="3" bestFit="1" customWidth="1"/>
    <col min="7174" max="7174" width="11.44140625" style="3"/>
    <col min="7175" max="7175" width="12.44140625" style="3" customWidth="1"/>
    <col min="7176" max="7176" width="11.44140625" style="3"/>
    <col min="7177" max="7177" width="9.77734375" style="3" bestFit="1" customWidth="1"/>
    <col min="7178" max="7178" width="12" style="3" bestFit="1" customWidth="1"/>
    <col min="7179" max="7179" width="11.44140625" style="3"/>
    <col min="7180" max="7180" width="12" style="3" bestFit="1" customWidth="1"/>
    <col min="7181" max="7181" width="10.44140625" style="3" customWidth="1"/>
    <col min="7182" max="7182" width="11.77734375" style="3" bestFit="1" customWidth="1"/>
    <col min="7183" max="7183" width="11.21875" style="3" bestFit="1" customWidth="1"/>
    <col min="7184" max="7186" width="11.44140625" style="3"/>
    <col min="7187" max="7187" width="2.21875" style="3" customWidth="1"/>
    <col min="7188" max="7423" width="11.44140625" style="3"/>
    <col min="7424" max="7424" width="3.21875" style="3" customWidth="1"/>
    <col min="7425" max="7425" width="33.77734375" style="3" customWidth="1"/>
    <col min="7426" max="7426" width="11.44140625" style="3"/>
    <col min="7427" max="7427" width="10.77734375" style="3" bestFit="1" customWidth="1"/>
    <col min="7428" max="7428" width="10.77734375" style="3" customWidth="1"/>
    <col min="7429" max="7429" width="11.21875" style="3" bestFit="1" customWidth="1"/>
    <col min="7430" max="7430" width="11.44140625" style="3"/>
    <col min="7431" max="7431" width="12.44140625" style="3" customWidth="1"/>
    <col min="7432" max="7432" width="11.44140625" style="3"/>
    <col min="7433" max="7433" width="9.77734375" style="3" bestFit="1" customWidth="1"/>
    <col min="7434" max="7434" width="12" style="3" bestFit="1" customWidth="1"/>
    <col min="7435" max="7435" width="11.44140625" style="3"/>
    <col min="7436" max="7436" width="12" style="3" bestFit="1" customWidth="1"/>
    <col min="7437" max="7437" width="10.44140625" style="3" customWidth="1"/>
    <col min="7438" max="7438" width="11.77734375" style="3" bestFit="1" customWidth="1"/>
    <col min="7439" max="7439" width="11.21875" style="3" bestFit="1" customWidth="1"/>
    <col min="7440" max="7442" width="11.44140625" style="3"/>
    <col min="7443" max="7443" width="2.21875" style="3" customWidth="1"/>
    <col min="7444" max="7679" width="11.44140625" style="3"/>
    <col min="7680" max="7680" width="3.21875" style="3" customWidth="1"/>
    <col min="7681" max="7681" width="33.77734375" style="3" customWidth="1"/>
    <col min="7682" max="7682" width="11.44140625" style="3"/>
    <col min="7683" max="7683" width="10.77734375" style="3" bestFit="1" customWidth="1"/>
    <col min="7684" max="7684" width="10.77734375" style="3" customWidth="1"/>
    <col min="7685" max="7685" width="11.21875" style="3" bestFit="1" customWidth="1"/>
    <col min="7686" max="7686" width="11.44140625" style="3"/>
    <col min="7687" max="7687" width="12.44140625" style="3" customWidth="1"/>
    <col min="7688" max="7688" width="11.44140625" style="3"/>
    <col min="7689" max="7689" width="9.77734375" style="3" bestFit="1" customWidth="1"/>
    <col min="7690" max="7690" width="12" style="3" bestFit="1" customWidth="1"/>
    <col min="7691" max="7691" width="11.44140625" style="3"/>
    <col min="7692" max="7692" width="12" style="3" bestFit="1" customWidth="1"/>
    <col min="7693" max="7693" width="10.44140625" style="3" customWidth="1"/>
    <col min="7694" max="7694" width="11.77734375" style="3" bestFit="1" customWidth="1"/>
    <col min="7695" max="7695" width="11.21875" style="3" bestFit="1" customWidth="1"/>
    <col min="7696" max="7698" width="11.44140625" style="3"/>
    <col min="7699" max="7699" width="2.21875" style="3" customWidth="1"/>
    <col min="7700" max="7935" width="11.44140625" style="3"/>
    <col min="7936" max="7936" width="3.21875" style="3" customWidth="1"/>
    <col min="7937" max="7937" width="33.77734375" style="3" customWidth="1"/>
    <col min="7938" max="7938" width="11.44140625" style="3"/>
    <col min="7939" max="7939" width="10.77734375" style="3" bestFit="1" customWidth="1"/>
    <col min="7940" max="7940" width="10.77734375" style="3" customWidth="1"/>
    <col min="7941" max="7941" width="11.21875" style="3" bestFit="1" customWidth="1"/>
    <col min="7942" max="7942" width="11.44140625" style="3"/>
    <col min="7943" max="7943" width="12.44140625" style="3" customWidth="1"/>
    <col min="7944" max="7944" width="11.44140625" style="3"/>
    <col min="7945" max="7945" width="9.77734375" style="3" bestFit="1" customWidth="1"/>
    <col min="7946" max="7946" width="12" style="3" bestFit="1" customWidth="1"/>
    <col min="7947" max="7947" width="11.44140625" style="3"/>
    <col min="7948" max="7948" width="12" style="3" bestFit="1" customWidth="1"/>
    <col min="7949" max="7949" width="10.44140625" style="3" customWidth="1"/>
    <col min="7950" max="7950" width="11.77734375" style="3" bestFit="1" customWidth="1"/>
    <col min="7951" max="7951" width="11.21875" style="3" bestFit="1" customWidth="1"/>
    <col min="7952" max="7954" width="11.44140625" style="3"/>
    <col min="7955" max="7955" width="2.21875" style="3" customWidth="1"/>
    <col min="7956" max="8191" width="11.44140625" style="3"/>
    <col min="8192" max="8192" width="3.21875" style="3" customWidth="1"/>
    <col min="8193" max="8193" width="33.77734375" style="3" customWidth="1"/>
    <col min="8194" max="8194" width="11.44140625" style="3"/>
    <col min="8195" max="8195" width="10.77734375" style="3" bestFit="1" customWidth="1"/>
    <col min="8196" max="8196" width="10.77734375" style="3" customWidth="1"/>
    <col min="8197" max="8197" width="11.21875" style="3" bestFit="1" customWidth="1"/>
    <col min="8198" max="8198" width="11.44140625" style="3"/>
    <col min="8199" max="8199" width="12.44140625" style="3" customWidth="1"/>
    <col min="8200" max="8200" width="11.44140625" style="3"/>
    <col min="8201" max="8201" width="9.77734375" style="3" bestFit="1" customWidth="1"/>
    <col min="8202" max="8202" width="12" style="3" bestFit="1" customWidth="1"/>
    <col min="8203" max="8203" width="11.44140625" style="3"/>
    <col min="8204" max="8204" width="12" style="3" bestFit="1" customWidth="1"/>
    <col min="8205" max="8205" width="10.44140625" style="3" customWidth="1"/>
    <col min="8206" max="8206" width="11.77734375" style="3" bestFit="1" customWidth="1"/>
    <col min="8207" max="8207" width="11.21875" style="3" bestFit="1" customWidth="1"/>
    <col min="8208" max="8210" width="11.44140625" style="3"/>
    <col min="8211" max="8211" width="2.21875" style="3" customWidth="1"/>
    <col min="8212" max="8447" width="11.44140625" style="3"/>
    <col min="8448" max="8448" width="3.21875" style="3" customWidth="1"/>
    <col min="8449" max="8449" width="33.77734375" style="3" customWidth="1"/>
    <col min="8450" max="8450" width="11.44140625" style="3"/>
    <col min="8451" max="8451" width="10.77734375" style="3" bestFit="1" customWidth="1"/>
    <col min="8452" max="8452" width="10.77734375" style="3" customWidth="1"/>
    <col min="8453" max="8453" width="11.21875" style="3" bestFit="1" customWidth="1"/>
    <col min="8454" max="8454" width="11.44140625" style="3"/>
    <col min="8455" max="8455" width="12.44140625" style="3" customWidth="1"/>
    <col min="8456" max="8456" width="11.44140625" style="3"/>
    <col min="8457" max="8457" width="9.77734375" style="3" bestFit="1" customWidth="1"/>
    <col min="8458" max="8458" width="12" style="3" bestFit="1" customWidth="1"/>
    <col min="8459" max="8459" width="11.44140625" style="3"/>
    <col min="8460" max="8460" width="12" style="3" bestFit="1" customWidth="1"/>
    <col min="8461" max="8461" width="10.44140625" style="3" customWidth="1"/>
    <col min="8462" max="8462" width="11.77734375" style="3" bestFit="1" customWidth="1"/>
    <col min="8463" max="8463" width="11.21875" style="3" bestFit="1" customWidth="1"/>
    <col min="8464" max="8466" width="11.44140625" style="3"/>
    <col min="8467" max="8467" width="2.21875" style="3" customWidth="1"/>
    <col min="8468" max="8703" width="11.44140625" style="3"/>
    <col min="8704" max="8704" width="3.21875" style="3" customWidth="1"/>
    <col min="8705" max="8705" width="33.77734375" style="3" customWidth="1"/>
    <col min="8706" max="8706" width="11.44140625" style="3"/>
    <col min="8707" max="8707" width="10.77734375" style="3" bestFit="1" customWidth="1"/>
    <col min="8708" max="8708" width="10.77734375" style="3" customWidth="1"/>
    <col min="8709" max="8709" width="11.21875" style="3" bestFit="1" customWidth="1"/>
    <col min="8710" max="8710" width="11.44140625" style="3"/>
    <col min="8711" max="8711" width="12.44140625" style="3" customWidth="1"/>
    <col min="8712" max="8712" width="11.44140625" style="3"/>
    <col min="8713" max="8713" width="9.77734375" style="3" bestFit="1" customWidth="1"/>
    <col min="8714" max="8714" width="12" style="3" bestFit="1" customWidth="1"/>
    <col min="8715" max="8715" width="11.44140625" style="3"/>
    <col min="8716" max="8716" width="12" style="3" bestFit="1" customWidth="1"/>
    <col min="8717" max="8717" width="10.44140625" style="3" customWidth="1"/>
    <col min="8718" max="8718" width="11.77734375" style="3" bestFit="1" customWidth="1"/>
    <col min="8719" max="8719" width="11.21875" style="3" bestFit="1" customWidth="1"/>
    <col min="8720" max="8722" width="11.44140625" style="3"/>
    <col min="8723" max="8723" width="2.21875" style="3" customWidth="1"/>
    <col min="8724" max="8959" width="11.44140625" style="3"/>
    <col min="8960" max="8960" width="3.21875" style="3" customWidth="1"/>
    <col min="8961" max="8961" width="33.77734375" style="3" customWidth="1"/>
    <col min="8962" max="8962" width="11.44140625" style="3"/>
    <col min="8963" max="8963" width="10.77734375" style="3" bestFit="1" customWidth="1"/>
    <col min="8964" max="8964" width="10.77734375" style="3" customWidth="1"/>
    <col min="8965" max="8965" width="11.21875" style="3" bestFit="1" customWidth="1"/>
    <col min="8966" max="8966" width="11.44140625" style="3"/>
    <col min="8967" max="8967" width="12.44140625" style="3" customWidth="1"/>
    <col min="8968" max="8968" width="11.44140625" style="3"/>
    <col min="8969" max="8969" width="9.77734375" style="3" bestFit="1" customWidth="1"/>
    <col min="8970" max="8970" width="12" style="3" bestFit="1" customWidth="1"/>
    <col min="8971" max="8971" width="11.44140625" style="3"/>
    <col min="8972" max="8972" width="12" style="3" bestFit="1" customWidth="1"/>
    <col min="8973" max="8973" width="10.44140625" style="3" customWidth="1"/>
    <col min="8974" max="8974" width="11.77734375" style="3" bestFit="1" customWidth="1"/>
    <col min="8975" max="8975" width="11.21875" style="3" bestFit="1" customWidth="1"/>
    <col min="8976" max="8978" width="11.44140625" style="3"/>
    <col min="8979" max="8979" width="2.21875" style="3" customWidth="1"/>
    <col min="8980" max="9215" width="11.44140625" style="3"/>
    <col min="9216" max="9216" width="3.21875" style="3" customWidth="1"/>
    <col min="9217" max="9217" width="33.77734375" style="3" customWidth="1"/>
    <col min="9218" max="9218" width="11.44140625" style="3"/>
    <col min="9219" max="9219" width="10.77734375" style="3" bestFit="1" customWidth="1"/>
    <col min="9220" max="9220" width="10.77734375" style="3" customWidth="1"/>
    <col min="9221" max="9221" width="11.21875" style="3" bestFit="1" customWidth="1"/>
    <col min="9222" max="9222" width="11.44140625" style="3"/>
    <col min="9223" max="9223" width="12.44140625" style="3" customWidth="1"/>
    <col min="9224" max="9224" width="11.44140625" style="3"/>
    <col min="9225" max="9225" width="9.77734375" style="3" bestFit="1" customWidth="1"/>
    <col min="9226" max="9226" width="12" style="3" bestFit="1" customWidth="1"/>
    <col min="9227" max="9227" width="11.44140625" style="3"/>
    <col min="9228" max="9228" width="12" style="3" bestFit="1" customWidth="1"/>
    <col min="9229" max="9229" width="10.44140625" style="3" customWidth="1"/>
    <col min="9230" max="9230" width="11.77734375" style="3" bestFit="1" customWidth="1"/>
    <col min="9231" max="9231" width="11.21875" style="3" bestFit="1" customWidth="1"/>
    <col min="9232" max="9234" width="11.44140625" style="3"/>
    <col min="9235" max="9235" width="2.21875" style="3" customWidth="1"/>
    <col min="9236" max="9471" width="11.44140625" style="3"/>
    <col min="9472" max="9472" width="3.21875" style="3" customWidth="1"/>
    <col min="9473" max="9473" width="33.77734375" style="3" customWidth="1"/>
    <col min="9474" max="9474" width="11.44140625" style="3"/>
    <col min="9475" max="9475" width="10.77734375" style="3" bestFit="1" customWidth="1"/>
    <col min="9476" max="9476" width="10.77734375" style="3" customWidth="1"/>
    <col min="9477" max="9477" width="11.21875" style="3" bestFit="1" customWidth="1"/>
    <col min="9478" max="9478" width="11.44140625" style="3"/>
    <col min="9479" max="9479" width="12.44140625" style="3" customWidth="1"/>
    <col min="9480" max="9480" width="11.44140625" style="3"/>
    <col min="9481" max="9481" width="9.77734375" style="3" bestFit="1" customWidth="1"/>
    <col min="9482" max="9482" width="12" style="3" bestFit="1" customWidth="1"/>
    <col min="9483" max="9483" width="11.44140625" style="3"/>
    <col min="9484" max="9484" width="12" style="3" bestFit="1" customWidth="1"/>
    <col min="9485" max="9485" width="10.44140625" style="3" customWidth="1"/>
    <col min="9486" max="9486" width="11.77734375" style="3" bestFit="1" customWidth="1"/>
    <col min="9487" max="9487" width="11.21875" style="3" bestFit="1" customWidth="1"/>
    <col min="9488" max="9490" width="11.44140625" style="3"/>
    <col min="9491" max="9491" width="2.21875" style="3" customWidth="1"/>
    <col min="9492" max="9727" width="11.44140625" style="3"/>
    <col min="9728" max="9728" width="3.21875" style="3" customWidth="1"/>
    <col min="9729" max="9729" width="33.77734375" style="3" customWidth="1"/>
    <col min="9730" max="9730" width="11.44140625" style="3"/>
    <col min="9731" max="9731" width="10.77734375" style="3" bestFit="1" customWidth="1"/>
    <col min="9732" max="9732" width="10.77734375" style="3" customWidth="1"/>
    <col min="9733" max="9733" width="11.21875" style="3" bestFit="1" customWidth="1"/>
    <col min="9734" max="9734" width="11.44140625" style="3"/>
    <col min="9735" max="9735" width="12.44140625" style="3" customWidth="1"/>
    <col min="9736" max="9736" width="11.44140625" style="3"/>
    <col min="9737" max="9737" width="9.77734375" style="3" bestFit="1" customWidth="1"/>
    <col min="9738" max="9738" width="12" style="3" bestFit="1" customWidth="1"/>
    <col min="9739" max="9739" width="11.44140625" style="3"/>
    <col min="9740" max="9740" width="12" style="3" bestFit="1" customWidth="1"/>
    <col min="9741" max="9741" width="10.44140625" style="3" customWidth="1"/>
    <col min="9742" max="9742" width="11.77734375" style="3" bestFit="1" customWidth="1"/>
    <col min="9743" max="9743" width="11.21875" style="3" bestFit="1" customWidth="1"/>
    <col min="9744" max="9746" width="11.44140625" style="3"/>
    <col min="9747" max="9747" width="2.21875" style="3" customWidth="1"/>
    <col min="9748" max="9983" width="11.44140625" style="3"/>
    <col min="9984" max="9984" width="3.21875" style="3" customWidth="1"/>
    <col min="9985" max="9985" width="33.77734375" style="3" customWidth="1"/>
    <col min="9986" max="9986" width="11.44140625" style="3"/>
    <col min="9987" max="9987" width="10.77734375" style="3" bestFit="1" customWidth="1"/>
    <col min="9988" max="9988" width="10.77734375" style="3" customWidth="1"/>
    <col min="9989" max="9989" width="11.21875" style="3" bestFit="1" customWidth="1"/>
    <col min="9990" max="9990" width="11.44140625" style="3"/>
    <col min="9991" max="9991" width="12.44140625" style="3" customWidth="1"/>
    <col min="9992" max="9992" width="11.44140625" style="3"/>
    <col min="9993" max="9993" width="9.77734375" style="3" bestFit="1" customWidth="1"/>
    <col min="9994" max="9994" width="12" style="3" bestFit="1" customWidth="1"/>
    <col min="9995" max="9995" width="11.44140625" style="3"/>
    <col min="9996" max="9996" width="12" style="3" bestFit="1" customWidth="1"/>
    <col min="9997" max="9997" width="10.44140625" style="3" customWidth="1"/>
    <col min="9998" max="9998" width="11.77734375" style="3" bestFit="1" customWidth="1"/>
    <col min="9999" max="9999" width="11.21875" style="3" bestFit="1" customWidth="1"/>
    <col min="10000" max="10002" width="11.44140625" style="3"/>
    <col min="10003" max="10003" width="2.21875" style="3" customWidth="1"/>
    <col min="10004" max="10239" width="11.44140625" style="3"/>
    <col min="10240" max="10240" width="3.21875" style="3" customWidth="1"/>
    <col min="10241" max="10241" width="33.77734375" style="3" customWidth="1"/>
    <col min="10242" max="10242" width="11.44140625" style="3"/>
    <col min="10243" max="10243" width="10.77734375" style="3" bestFit="1" customWidth="1"/>
    <col min="10244" max="10244" width="10.77734375" style="3" customWidth="1"/>
    <col min="10245" max="10245" width="11.21875" style="3" bestFit="1" customWidth="1"/>
    <col min="10246" max="10246" width="11.44140625" style="3"/>
    <col min="10247" max="10247" width="12.44140625" style="3" customWidth="1"/>
    <col min="10248" max="10248" width="11.44140625" style="3"/>
    <col min="10249" max="10249" width="9.77734375" style="3" bestFit="1" customWidth="1"/>
    <col min="10250" max="10250" width="12" style="3" bestFit="1" customWidth="1"/>
    <col min="10251" max="10251" width="11.44140625" style="3"/>
    <col min="10252" max="10252" width="12" style="3" bestFit="1" customWidth="1"/>
    <col min="10253" max="10253" width="10.44140625" style="3" customWidth="1"/>
    <col min="10254" max="10254" width="11.77734375" style="3" bestFit="1" customWidth="1"/>
    <col min="10255" max="10255" width="11.21875" style="3" bestFit="1" customWidth="1"/>
    <col min="10256" max="10258" width="11.44140625" style="3"/>
    <col min="10259" max="10259" width="2.21875" style="3" customWidth="1"/>
    <col min="10260" max="10495" width="11.44140625" style="3"/>
    <col min="10496" max="10496" width="3.21875" style="3" customWidth="1"/>
    <col min="10497" max="10497" width="33.77734375" style="3" customWidth="1"/>
    <col min="10498" max="10498" width="11.44140625" style="3"/>
    <col min="10499" max="10499" width="10.77734375" style="3" bestFit="1" customWidth="1"/>
    <col min="10500" max="10500" width="10.77734375" style="3" customWidth="1"/>
    <col min="10501" max="10501" width="11.21875" style="3" bestFit="1" customWidth="1"/>
    <col min="10502" max="10502" width="11.44140625" style="3"/>
    <col min="10503" max="10503" width="12.44140625" style="3" customWidth="1"/>
    <col min="10504" max="10504" width="11.44140625" style="3"/>
    <col min="10505" max="10505" width="9.77734375" style="3" bestFit="1" customWidth="1"/>
    <col min="10506" max="10506" width="12" style="3" bestFit="1" customWidth="1"/>
    <col min="10507" max="10507" width="11.44140625" style="3"/>
    <col min="10508" max="10508" width="12" style="3" bestFit="1" customWidth="1"/>
    <col min="10509" max="10509" width="10.44140625" style="3" customWidth="1"/>
    <col min="10510" max="10510" width="11.77734375" style="3" bestFit="1" customWidth="1"/>
    <col min="10511" max="10511" width="11.21875" style="3" bestFit="1" customWidth="1"/>
    <col min="10512" max="10514" width="11.44140625" style="3"/>
    <col min="10515" max="10515" width="2.21875" style="3" customWidth="1"/>
    <col min="10516" max="10751" width="11.44140625" style="3"/>
    <col min="10752" max="10752" width="3.21875" style="3" customWidth="1"/>
    <col min="10753" max="10753" width="33.77734375" style="3" customWidth="1"/>
    <col min="10754" max="10754" width="11.44140625" style="3"/>
    <col min="10755" max="10755" width="10.77734375" style="3" bestFit="1" customWidth="1"/>
    <col min="10756" max="10756" width="10.77734375" style="3" customWidth="1"/>
    <col min="10757" max="10757" width="11.21875" style="3" bestFit="1" customWidth="1"/>
    <col min="10758" max="10758" width="11.44140625" style="3"/>
    <col min="10759" max="10759" width="12.44140625" style="3" customWidth="1"/>
    <col min="10760" max="10760" width="11.44140625" style="3"/>
    <col min="10761" max="10761" width="9.77734375" style="3" bestFit="1" customWidth="1"/>
    <col min="10762" max="10762" width="12" style="3" bestFit="1" customWidth="1"/>
    <col min="10763" max="10763" width="11.44140625" style="3"/>
    <col min="10764" max="10764" width="12" style="3" bestFit="1" customWidth="1"/>
    <col min="10765" max="10765" width="10.44140625" style="3" customWidth="1"/>
    <col min="10766" max="10766" width="11.77734375" style="3" bestFit="1" customWidth="1"/>
    <col min="10767" max="10767" width="11.21875" style="3" bestFit="1" customWidth="1"/>
    <col min="10768" max="10770" width="11.44140625" style="3"/>
    <col min="10771" max="10771" width="2.21875" style="3" customWidth="1"/>
    <col min="10772" max="11007" width="11.44140625" style="3"/>
    <col min="11008" max="11008" width="3.21875" style="3" customWidth="1"/>
    <col min="11009" max="11009" width="33.77734375" style="3" customWidth="1"/>
    <col min="11010" max="11010" width="11.44140625" style="3"/>
    <col min="11011" max="11011" width="10.77734375" style="3" bestFit="1" customWidth="1"/>
    <col min="11012" max="11012" width="10.77734375" style="3" customWidth="1"/>
    <col min="11013" max="11013" width="11.21875" style="3" bestFit="1" customWidth="1"/>
    <col min="11014" max="11014" width="11.44140625" style="3"/>
    <col min="11015" max="11015" width="12.44140625" style="3" customWidth="1"/>
    <col min="11016" max="11016" width="11.44140625" style="3"/>
    <col min="11017" max="11017" width="9.77734375" style="3" bestFit="1" customWidth="1"/>
    <col min="11018" max="11018" width="12" style="3" bestFit="1" customWidth="1"/>
    <col min="11019" max="11019" width="11.44140625" style="3"/>
    <col min="11020" max="11020" width="12" style="3" bestFit="1" customWidth="1"/>
    <col min="11021" max="11021" width="10.44140625" style="3" customWidth="1"/>
    <col min="11022" max="11022" width="11.77734375" style="3" bestFit="1" customWidth="1"/>
    <col min="11023" max="11023" width="11.21875" style="3" bestFit="1" customWidth="1"/>
    <col min="11024" max="11026" width="11.44140625" style="3"/>
    <col min="11027" max="11027" width="2.21875" style="3" customWidth="1"/>
    <col min="11028" max="11263" width="11.44140625" style="3"/>
    <col min="11264" max="11264" width="3.21875" style="3" customWidth="1"/>
    <col min="11265" max="11265" width="33.77734375" style="3" customWidth="1"/>
    <col min="11266" max="11266" width="11.44140625" style="3"/>
    <col min="11267" max="11267" width="10.77734375" style="3" bestFit="1" customWidth="1"/>
    <col min="11268" max="11268" width="10.77734375" style="3" customWidth="1"/>
    <col min="11269" max="11269" width="11.21875" style="3" bestFit="1" customWidth="1"/>
    <col min="11270" max="11270" width="11.44140625" style="3"/>
    <col min="11271" max="11271" width="12.44140625" style="3" customWidth="1"/>
    <col min="11272" max="11272" width="11.44140625" style="3"/>
    <col min="11273" max="11273" width="9.77734375" style="3" bestFit="1" customWidth="1"/>
    <col min="11274" max="11274" width="12" style="3" bestFit="1" customWidth="1"/>
    <col min="11275" max="11275" width="11.44140625" style="3"/>
    <col min="11276" max="11276" width="12" style="3" bestFit="1" customWidth="1"/>
    <col min="11277" max="11277" width="10.44140625" style="3" customWidth="1"/>
    <col min="11278" max="11278" width="11.77734375" style="3" bestFit="1" customWidth="1"/>
    <col min="11279" max="11279" width="11.21875" style="3" bestFit="1" customWidth="1"/>
    <col min="11280" max="11282" width="11.44140625" style="3"/>
    <col min="11283" max="11283" width="2.21875" style="3" customWidth="1"/>
    <col min="11284" max="11519" width="11.44140625" style="3"/>
    <col min="11520" max="11520" width="3.21875" style="3" customWidth="1"/>
    <col min="11521" max="11521" width="33.77734375" style="3" customWidth="1"/>
    <col min="11522" max="11522" width="11.44140625" style="3"/>
    <col min="11523" max="11523" width="10.77734375" style="3" bestFit="1" customWidth="1"/>
    <col min="11524" max="11524" width="10.77734375" style="3" customWidth="1"/>
    <col min="11525" max="11525" width="11.21875" style="3" bestFit="1" customWidth="1"/>
    <col min="11526" max="11526" width="11.44140625" style="3"/>
    <col min="11527" max="11527" width="12.44140625" style="3" customWidth="1"/>
    <col min="11528" max="11528" width="11.44140625" style="3"/>
    <col min="11529" max="11529" width="9.77734375" style="3" bestFit="1" customWidth="1"/>
    <col min="11530" max="11530" width="12" style="3" bestFit="1" customWidth="1"/>
    <col min="11531" max="11531" width="11.44140625" style="3"/>
    <col min="11532" max="11532" width="12" style="3" bestFit="1" customWidth="1"/>
    <col min="11533" max="11533" width="10.44140625" style="3" customWidth="1"/>
    <col min="11534" max="11534" width="11.77734375" style="3" bestFit="1" customWidth="1"/>
    <col min="11535" max="11535" width="11.21875" style="3" bestFit="1" customWidth="1"/>
    <col min="11536" max="11538" width="11.44140625" style="3"/>
    <col min="11539" max="11539" width="2.21875" style="3" customWidth="1"/>
    <col min="11540" max="11775" width="11.44140625" style="3"/>
    <col min="11776" max="11776" width="3.21875" style="3" customWidth="1"/>
    <col min="11777" max="11777" width="33.77734375" style="3" customWidth="1"/>
    <col min="11778" max="11778" width="11.44140625" style="3"/>
    <col min="11779" max="11779" width="10.77734375" style="3" bestFit="1" customWidth="1"/>
    <col min="11780" max="11780" width="10.77734375" style="3" customWidth="1"/>
    <col min="11781" max="11781" width="11.21875" style="3" bestFit="1" customWidth="1"/>
    <col min="11782" max="11782" width="11.44140625" style="3"/>
    <col min="11783" max="11783" width="12.44140625" style="3" customWidth="1"/>
    <col min="11784" max="11784" width="11.44140625" style="3"/>
    <col min="11785" max="11785" width="9.77734375" style="3" bestFit="1" customWidth="1"/>
    <col min="11786" max="11786" width="12" style="3" bestFit="1" customWidth="1"/>
    <col min="11787" max="11787" width="11.44140625" style="3"/>
    <col min="11788" max="11788" width="12" style="3" bestFit="1" customWidth="1"/>
    <col min="11789" max="11789" width="10.44140625" style="3" customWidth="1"/>
    <col min="11790" max="11790" width="11.77734375" style="3" bestFit="1" customWidth="1"/>
    <col min="11791" max="11791" width="11.21875" style="3" bestFit="1" customWidth="1"/>
    <col min="11792" max="11794" width="11.44140625" style="3"/>
    <col min="11795" max="11795" width="2.21875" style="3" customWidth="1"/>
    <col min="11796" max="12031" width="11.44140625" style="3"/>
    <col min="12032" max="12032" width="3.21875" style="3" customWidth="1"/>
    <col min="12033" max="12033" width="33.77734375" style="3" customWidth="1"/>
    <col min="12034" max="12034" width="11.44140625" style="3"/>
    <col min="12035" max="12035" width="10.77734375" style="3" bestFit="1" customWidth="1"/>
    <col min="12036" max="12036" width="10.77734375" style="3" customWidth="1"/>
    <col min="12037" max="12037" width="11.21875" style="3" bestFit="1" customWidth="1"/>
    <col min="12038" max="12038" width="11.44140625" style="3"/>
    <col min="12039" max="12039" width="12.44140625" style="3" customWidth="1"/>
    <col min="12040" max="12040" width="11.44140625" style="3"/>
    <col min="12041" max="12041" width="9.77734375" style="3" bestFit="1" customWidth="1"/>
    <col min="12042" max="12042" width="12" style="3" bestFit="1" customWidth="1"/>
    <col min="12043" max="12043" width="11.44140625" style="3"/>
    <col min="12044" max="12044" width="12" style="3" bestFit="1" customWidth="1"/>
    <col min="12045" max="12045" width="10.44140625" style="3" customWidth="1"/>
    <col min="12046" max="12046" width="11.77734375" style="3" bestFit="1" customWidth="1"/>
    <col min="12047" max="12047" width="11.21875" style="3" bestFit="1" customWidth="1"/>
    <col min="12048" max="12050" width="11.44140625" style="3"/>
    <col min="12051" max="12051" width="2.21875" style="3" customWidth="1"/>
    <col min="12052" max="12287" width="11.44140625" style="3"/>
    <col min="12288" max="12288" width="3.21875" style="3" customWidth="1"/>
    <col min="12289" max="12289" width="33.77734375" style="3" customWidth="1"/>
    <col min="12290" max="12290" width="11.44140625" style="3"/>
    <col min="12291" max="12291" width="10.77734375" style="3" bestFit="1" customWidth="1"/>
    <col min="12292" max="12292" width="10.77734375" style="3" customWidth="1"/>
    <col min="12293" max="12293" width="11.21875" style="3" bestFit="1" customWidth="1"/>
    <col min="12294" max="12294" width="11.44140625" style="3"/>
    <col min="12295" max="12295" width="12.44140625" style="3" customWidth="1"/>
    <col min="12296" max="12296" width="11.44140625" style="3"/>
    <col min="12297" max="12297" width="9.77734375" style="3" bestFit="1" customWidth="1"/>
    <col min="12298" max="12298" width="12" style="3" bestFit="1" customWidth="1"/>
    <col min="12299" max="12299" width="11.44140625" style="3"/>
    <col min="12300" max="12300" width="12" style="3" bestFit="1" customWidth="1"/>
    <col min="12301" max="12301" width="10.44140625" style="3" customWidth="1"/>
    <col min="12302" max="12302" width="11.77734375" style="3" bestFit="1" customWidth="1"/>
    <col min="12303" max="12303" width="11.21875" style="3" bestFit="1" customWidth="1"/>
    <col min="12304" max="12306" width="11.44140625" style="3"/>
    <col min="12307" max="12307" width="2.21875" style="3" customWidth="1"/>
    <col min="12308" max="12543" width="11.44140625" style="3"/>
    <col min="12544" max="12544" width="3.21875" style="3" customWidth="1"/>
    <col min="12545" max="12545" width="33.77734375" style="3" customWidth="1"/>
    <col min="12546" max="12546" width="11.44140625" style="3"/>
    <col min="12547" max="12547" width="10.77734375" style="3" bestFit="1" customWidth="1"/>
    <col min="12548" max="12548" width="10.77734375" style="3" customWidth="1"/>
    <col min="12549" max="12549" width="11.21875" style="3" bestFit="1" customWidth="1"/>
    <col min="12550" max="12550" width="11.44140625" style="3"/>
    <col min="12551" max="12551" width="12.44140625" style="3" customWidth="1"/>
    <col min="12552" max="12552" width="11.44140625" style="3"/>
    <col min="12553" max="12553" width="9.77734375" style="3" bestFit="1" customWidth="1"/>
    <col min="12554" max="12554" width="12" style="3" bestFit="1" customWidth="1"/>
    <col min="12555" max="12555" width="11.44140625" style="3"/>
    <col min="12556" max="12556" width="12" style="3" bestFit="1" customWidth="1"/>
    <col min="12557" max="12557" width="10.44140625" style="3" customWidth="1"/>
    <col min="12558" max="12558" width="11.77734375" style="3" bestFit="1" customWidth="1"/>
    <col min="12559" max="12559" width="11.21875" style="3" bestFit="1" customWidth="1"/>
    <col min="12560" max="12562" width="11.44140625" style="3"/>
    <col min="12563" max="12563" width="2.21875" style="3" customWidth="1"/>
    <col min="12564" max="12799" width="11.44140625" style="3"/>
    <col min="12800" max="12800" width="3.21875" style="3" customWidth="1"/>
    <col min="12801" max="12801" width="33.77734375" style="3" customWidth="1"/>
    <col min="12802" max="12802" width="11.44140625" style="3"/>
    <col min="12803" max="12803" width="10.77734375" style="3" bestFit="1" customWidth="1"/>
    <col min="12804" max="12804" width="10.77734375" style="3" customWidth="1"/>
    <col min="12805" max="12805" width="11.21875" style="3" bestFit="1" customWidth="1"/>
    <col min="12806" max="12806" width="11.44140625" style="3"/>
    <col min="12807" max="12807" width="12.44140625" style="3" customWidth="1"/>
    <col min="12808" max="12808" width="11.44140625" style="3"/>
    <col min="12809" max="12809" width="9.77734375" style="3" bestFit="1" customWidth="1"/>
    <col min="12810" max="12810" width="12" style="3" bestFit="1" customWidth="1"/>
    <col min="12811" max="12811" width="11.44140625" style="3"/>
    <col min="12812" max="12812" width="12" style="3" bestFit="1" customWidth="1"/>
    <col min="12813" max="12813" width="10.44140625" style="3" customWidth="1"/>
    <col min="12814" max="12814" width="11.77734375" style="3" bestFit="1" customWidth="1"/>
    <col min="12815" max="12815" width="11.21875" style="3" bestFit="1" customWidth="1"/>
    <col min="12816" max="12818" width="11.44140625" style="3"/>
    <col min="12819" max="12819" width="2.21875" style="3" customWidth="1"/>
    <col min="12820" max="13055" width="11.44140625" style="3"/>
    <col min="13056" max="13056" width="3.21875" style="3" customWidth="1"/>
    <col min="13057" max="13057" width="33.77734375" style="3" customWidth="1"/>
    <col min="13058" max="13058" width="11.44140625" style="3"/>
    <col min="13059" max="13059" width="10.77734375" style="3" bestFit="1" customWidth="1"/>
    <col min="13060" max="13060" width="10.77734375" style="3" customWidth="1"/>
    <col min="13061" max="13061" width="11.21875" style="3" bestFit="1" customWidth="1"/>
    <col min="13062" max="13062" width="11.44140625" style="3"/>
    <col min="13063" max="13063" width="12.44140625" style="3" customWidth="1"/>
    <col min="13064" max="13064" width="11.44140625" style="3"/>
    <col min="13065" max="13065" width="9.77734375" style="3" bestFit="1" customWidth="1"/>
    <col min="13066" max="13066" width="12" style="3" bestFit="1" customWidth="1"/>
    <col min="13067" max="13067" width="11.44140625" style="3"/>
    <col min="13068" max="13068" width="12" style="3" bestFit="1" customWidth="1"/>
    <col min="13069" max="13069" width="10.44140625" style="3" customWidth="1"/>
    <col min="13070" max="13070" width="11.77734375" style="3" bestFit="1" customWidth="1"/>
    <col min="13071" max="13071" width="11.21875" style="3" bestFit="1" customWidth="1"/>
    <col min="13072" max="13074" width="11.44140625" style="3"/>
    <col min="13075" max="13075" width="2.21875" style="3" customWidth="1"/>
    <col min="13076" max="13311" width="11.44140625" style="3"/>
    <col min="13312" max="13312" width="3.21875" style="3" customWidth="1"/>
    <col min="13313" max="13313" width="33.77734375" style="3" customWidth="1"/>
    <col min="13314" max="13314" width="11.44140625" style="3"/>
    <col min="13315" max="13315" width="10.77734375" style="3" bestFit="1" customWidth="1"/>
    <col min="13316" max="13316" width="10.77734375" style="3" customWidth="1"/>
    <col min="13317" max="13317" width="11.21875" style="3" bestFit="1" customWidth="1"/>
    <col min="13318" max="13318" width="11.44140625" style="3"/>
    <col min="13319" max="13319" width="12.44140625" style="3" customWidth="1"/>
    <col min="13320" max="13320" width="11.44140625" style="3"/>
    <col min="13321" max="13321" width="9.77734375" style="3" bestFit="1" customWidth="1"/>
    <col min="13322" max="13322" width="12" style="3" bestFit="1" customWidth="1"/>
    <col min="13323" max="13323" width="11.44140625" style="3"/>
    <col min="13324" max="13324" width="12" style="3" bestFit="1" customWidth="1"/>
    <col min="13325" max="13325" width="10.44140625" style="3" customWidth="1"/>
    <col min="13326" max="13326" width="11.77734375" style="3" bestFit="1" customWidth="1"/>
    <col min="13327" max="13327" width="11.21875" style="3" bestFit="1" customWidth="1"/>
    <col min="13328" max="13330" width="11.44140625" style="3"/>
    <col min="13331" max="13331" width="2.21875" style="3" customWidth="1"/>
    <col min="13332" max="13567" width="11.44140625" style="3"/>
    <col min="13568" max="13568" width="3.21875" style="3" customWidth="1"/>
    <col min="13569" max="13569" width="33.77734375" style="3" customWidth="1"/>
    <col min="13570" max="13570" width="11.44140625" style="3"/>
    <col min="13571" max="13571" width="10.77734375" style="3" bestFit="1" customWidth="1"/>
    <col min="13572" max="13572" width="10.77734375" style="3" customWidth="1"/>
    <col min="13573" max="13573" width="11.21875" style="3" bestFit="1" customWidth="1"/>
    <col min="13574" max="13574" width="11.44140625" style="3"/>
    <col min="13575" max="13575" width="12.44140625" style="3" customWidth="1"/>
    <col min="13576" max="13576" width="11.44140625" style="3"/>
    <col min="13577" max="13577" width="9.77734375" style="3" bestFit="1" customWidth="1"/>
    <col min="13578" max="13578" width="12" style="3" bestFit="1" customWidth="1"/>
    <col min="13579" max="13579" width="11.44140625" style="3"/>
    <col min="13580" max="13580" width="12" style="3" bestFit="1" customWidth="1"/>
    <col min="13581" max="13581" width="10.44140625" style="3" customWidth="1"/>
    <col min="13582" max="13582" width="11.77734375" style="3" bestFit="1" customWidth="1"/>
    <col min="13583" max="13583" width="11.21875" style="3" bestFit="1" customWidth="1"/>
    <col min="13584" max="13586" width="11.44140625" style="3"/>
    <col min="13587" max="13587" width="2.21875" style="3" customWidth="1"/>
    <col min="13588" max="13823" width="11.44140625" style="3"/>
    <col min="13824" max="13824" width="3.21875" style="3" customWidth="1"/>
    <col min="13825" max="13825" width="33.77734375" style="3" customWidth="1"/>
    <col min="13826" max="13826" width="11.44140625" style="3"/>
    <col min="13827" max="13827" width="10.77734375" style="3" bestFit="1" customWidth="1"/>
    <col min="13828" max="13828" width="10.77734375" style="3" customWidth="1"/>
    <col min="13829" max="13829" width="11.21875" style="3" bestFit="1" customWidth="1"/>
    <col min="13830" max="13830" width="11.44140625" style="3"/>
    <col min="13831" max="13831" width="12.44140625" style="3" customWidth="1"/>
    <col min="13832" max="13832" width="11.44140625" style="3"/>
    <col min="13833" max="13833" width="9.77734375" style="3" bestFit="1" customWidth="1"/>
    <col min="13834" max="13834" width="12" style="3" bestFit="1" customWidth="1"/>
    <col min="13835" max="13835" width="11.44140625" style="3"/>
    <col min="13836" max="13836" width="12" style="3" bestFit="1" customWidth="1"/>
    <col min="13837" max="13837" width="10.44140625" style="3" customWidth="1"/>
    <col min="13838" max="13838" width="11.77734375" style="3" bestFit="1" customWidth="1"/>
    <col min="13839" max="13839" width="11.21875" style="3" bestFit="1" customWidth="1"/>
    <col min="13840" max="13842" width="11.44140625" style="3"/>
    <col min="13843" max="13843" width="2.21875" style="3" customWidth="1"/>
    <col min="13844" max="14079" width="11.44140625" style="3"/>
    <col min="14080" max="14080" width="3.21875" style="3" customWidth="1"/>
    <col min="14081" max="14081" width="33.77734375" style="3" customWidth="1"/>
    <col min="14082" max="14082" width="11.44140625" style="3"/>
    <col min="14083" max="14083" width="10.77734375" style="3" bestFit="1" customWidth="1"/>
    <col min="14084" max="14084" width="10.77734375" style="3" customWidth="1"/>
    <col min="14085" max="14085" width="11.21875" style="3" bestFit="1" customWidth="1"/>
    <col min="14086" max="14086" width="11.44140625" style="3"/>
    <col min="14087" max="14087" width="12.44140625" style="3" customWidth="1"/>
    <col min="14088" max="14088" width="11.44140625" style="3"/>
    <col min="14089" max="14089" width="9.77734375" style="3" bestFit="1" customWidth="1"/>
    <col min="14090" max="14090" width="12" style="3" bestFit="1" customWidth="1"/>
    <col min="14091" max="14091" width="11.44140625" style="3"/>
    <col min="14092" max="14092" width="12" style="3" bestFit="1" customWidth="1"/>
    <col min="14093" max="14093" width="10.44140625" style="3" customWidth="1"/>
    <col min="14094" max="14094" width="11.77734375" style="3" bestFit="1" customWidth="1"/>
    <col min="14095" max="14095" width="11.21875" style="3" bestFit="1" customWidth="1"/>
    <col min="14096" max="14098" width="11.44140625" style="3"/>
    <col min="14099" max="14099" width="2.21875" style="3" customWidth="1"/>
    <col min="14100" max="14335" width="11.44140625" style="3"/>
    <col min="14336" max="14336" width="3.21875" style="3" customWidth="1"/>
    <col min="14337" max="14337" width="33.77734375" style="3" customWidth="1"/>
    <col min="14338" max="14338" width="11.44140625" style="3"/>
    <col min="14339" max="14339" width="10.77734375" style="3" bestFit="1" customWidth="1"/>
    <col min="14340" max="14340" width="10.77734375" style="3" customWidth="1"/>
    <col min="14341" max="14341" width="11.21875" style="3" bestFit="1" customWidth="1"/>
    <col min="14342" max="14342" width="11.44140625" style="3"/>
    <col min="14343" max="14343" width="12.44140625" style="3" customWidth="1"/>
    <col min="14344" max="14344" width="11.44140625" style="3"/>
    <col min="14345" max="14345" width="9.77734375" style="3" bestFit="1" customWidth="1"/>
    <col min="14346" max="14346" width="12" style="3" bestFit="1" customWidth="1"/>
    <col min="14347" max="14347" width="11.44140625" style="3"/>
    <col min="14348" max="14348" width="12" style="3" bestFit="1" customWidth="1"/>
    <col min="14349" max="14349" width="10.44140625" style="3" customWidth="1"/>
    <col min="14350" max="14350" width="11.77734375" style="3" bestFit="1" customWidth="1"/>
    <col min="14351" max="14351" width="11.21875" style="3" bestFit="1" customWidth="1"/>
    <col min="14352" max="14354" width="11.44140625" style="3"/>
    <col min="14355" max="14355" width="2.21875" style="3" customWidth="1"/>
    <col min="14356" max="14591" width="11.44140625" style="3"/>
    <col min="14592" max="14592" width="3.21875" style="3" customWidth="1"/>
    <col min="14593" max="14593" width="33.77734375" style="3" customWidth="1"/>
    <col min="14594" max="14594" width="11.44140625" style="3"/>
    <col min="14595" max="14595" width="10.77734375" style="3" bestFit="1" customWidth="1"/>
    <col min="14596" max="14596" width="10.77734375" style="3" customWidth="1"/>
    <col min="14597" max="14597" width="11.21875" style="3" bestFit="1" customWidth="1"/>
    <col min="14598" max="14598" width="11.44140625" style="3"/>
    <col min="14599" max="14599" width="12.44140625" style="3" customWidth="1"/>
    <col min="14600" max="14600" width="11.44140625" style="3"/>
    <col min="14601" max="14601" width="9.77734375" style="3" bestFit="1" customWidth="1"/>
    <col min="14602" max="14602" width="12" style="3" bestFit="1" customWidth="1"/>
    <col min="14603" max="14603" width="11.44140625" style="3"/>
    <col min="14604" max="14604" width="12" style="3" bestFit="1" customWidth="1"/>
    <col min="14605" max="14605" width="10.44140625" style="3" customWidth="1"/>
    <col min="14606" max="14606" width="11.77734375" style="3" bestFit="1" customWidth="1"/>
    <col min="14607" max="14607" width="11.21875" style="3" bestFit="1" customWidth="1"/>
    <col min="14608" max="14610" width="11.44140625" style="3"/>
    <col min="14611" max="14611" width="2.21875" style="3" customWidth="1"/>
    <col min="14612" max="14847" width="11.44140625" style="3"/>
    <col min="14848" max="14848" width="3.21875" style="3" customWidth="1"/>
    <col min="14849" max="14849" width="33.77734375" style="3" customWidth="1"/>
    <col min="14850" max="14850" width="11.44140625" style="3"/>
    <col min="14851" max="14851" width="10.77734375" style="3" bestFit="1" customWidth="1"/>
    <col min="14852" max="14852" width="10.77734375" style="3" customWidth="1"/>
    <col min="14853" max="14853" width="11.21875" style="3" bestFit="1" customWidth="1"/>
    <col min="14854" max="14854" width="11.44140625" style="3"/>
    <col min="14855" max="14855" width="12.44140625" style="3" customWidth="1"/>
    <col min="14856" max="14856" width="11.44140625" style="3"/>
    <col min="14857" max="14857" width="9.77734375" style="3" bestFit="1" customWidth="1"/>
    <col min="14858" max="14858" width="12" style="3" bestFit="1" customWidth="1"/>
    <col min="14859" max="14859" width="11.44140625" style="3"/>
    <col min="14860" max="14860" width="12" style="3" bestFit="1" customWidth="1"/>
    <col min="14861" max="14861" width="10.44140625" style="3" customWidth="1"/>
    <col min="14862" max="14862" width="11.77734375" style="3" bestFit="1" customWidth="1"/>
    <col min="14863" max="14863" width="11.21875" style="3" bestFit="1" customWidth="1"/>
    <col min="14864" max="14866" width="11.44140625" style="3"/>
    <col min="14867" max="14867" width="2.21875" style="3" customWidth="1"/>
    <col min="14868" max="15103" width="11.44140625" style="3"/>
    <col min="15104" max="15104" width="3.21875" style="3" customWidth="1"/>
    <col min="15105" max="15105" width="33.77734375" style="3" customWidth="1"/>
    <col min="15106" max="15106" width="11.44140625" style="3"/>
    <col min="15107" max="15107" width="10.77734375" style="3" bestFit="1" customWidth="1"/>
    <col min="15108" max="15108" width="10.77734375" style="3" customWidth="1"/>
    <col min="15109" max="15109" width="11.21875" style="3" bestFit="1" customWidth="1"/>
    <col min="15110" max="15110" width="11.44140625" style="3"/>
    <col min="15111" max="15111" width="12.44140625" style="3" customWidth="1"/>
    <col min="15112" max="15112" width="11.44140625" style="3"/>
    <col min="15113" max="15113" width="9.77734375" style="3" bestFit="1" customWidth="1"/>
    <col min="15114" max="15114" width="12" style="3" bestFit="1" customWidth="1"/>
    <col min="15115" max="15115" width="11.44140625" style="3"/>
    <col min="15116" max="15116" width="12" style="3" bestFit="1" customWidth="1"/>
    <col min="15117" max="15117" width="10.44140625" style="3" customWidth="1"/>
    <col min="15118" max="15118" width="11.77734375" style="3" bestFit="1" customWidth="1"/>
    <col min="15119" max="15119" width="11.21875" style="3" bestFit="1" customWidth="1"/>
    <col min="15120" max="15122" width="11.44140625" style="3"/>
    <col min="15123" max="15123" width="2.21875" style="3" customWidth="1"/>
    <col min="15124" max="15359" width="11.44140625" style="3"/>
    <col min="15360" max="15360" width="3.21875" style="3" customWidth="1"/>
    <col min="15361" max="15361" width="33.77734375" style="3" customWidth="1"/>
    <col min="15362" max="15362" width="11.44140625" style="3"/>
    <col min="15363" max="15363" width="10.77734375" style="3" bestFit="1" customWidth="1"/>
    <col min="15364" max="15364" width="10.77734375" style="3" customWidth="1"/>
    <col min="15365" max="15365" width="11.21875" style="3" bestFit="1" customWidth="1"/>
    <col min="15366" max="15366" width="11.44140625" style="3"/>
    <col min="15367" max="15367" width="12.44140625" style="3" customWidth="1"/>
    <col min="15368" max="15368" width="11.44140625" style="3"/>
    <col min="15369" max="15369" width="9.77734375" style="3" bestFit="1" customWidth="1"/>
    <col min="15370" max="15370" width="12" style="3" bestFit="1" customWidth="1"/>
    <col min="15371" max="15371" width="11.44140625" style="3"/>
    <col min="15372" max="15372" width="12" style="3" bestFit="1" customWidth="1"/>
    <col min="15373" max="15373" width="10.44140625" style="3" customWidth="1"/>
    <col min="15374" max="15374" width="11.77734375" style="3" bestFit="1" customWidth="1"/>
    <col min="15375" max="15375" width="11.21875" style="3" bestFit="1" customWidth="1"/>
    <col min="15376" max="15378" width="11.44140625" style="3"/>
    <col min="15379" max="15379" width="2.21875" style="3" customWidth="1"/>
    <col min="15380" max="15615" width="11.44140625" style="3"/>
    <col min="15616" max="15616" width="3.21875" style="3" customWidth="1"/>
    <col min="15617" max="15617" width="33.77734375" style="3" customWidth="1"/>
    <col min="15618" max="15618" width="11.44140625" style="3"/>
    <col min="15619" max="15619" width="10.77734375" style="3" bestFit="1" customWidth="1"/>
    <col min="15620" max="15620" width="10.77734375" style="3" customWidth="1"/>
    <col min="15621" max="15621" width="11.21875" style="3" bestFit="1" customWidth="1"/>
    <col min="15622" max="15622" width="11.44140625" style="3"/>
    <col min="15623" max="15623" width="12.44140625" style="3" customWidth="1"/>
    <col min="15624" max="15624" width="11.44140625" style="3"/>
    <col min="15625" max="15625" width="9.77734375" style="3" bestFit="1" customWidth="1"/>
    <col min="15626" max="15626" width="12" style="3" bestFit="1" customWidth="1"/>
    <col min="15627" max="15627" width="11.44140625" style="3"/>
    <col min="15628" max="15628" width="12" style="3" bestFit="1" customWidth="1"/>
    <col min="15629" max="15629" width="10.44140625" style="3" customWidth="1"/>
    <col min="15630" max="15630" width="11.77734375" style="3" bestFit="1" customWidth="1"/>
    <col min="15631" max="15631" width="11.21875" style="3" bestFit="1" customWidth="1"/>
    <col min="15632" max="15634" width="11.44140625" style="3"/>
    <col min="15635" max="15635" width="2.21875" style="3" customWidth="1"/>
    <col min="15636" max="15871" width="11.44140625" style="3"/>
    <col min="15872" max="15872" width="3.21875" style="3" customWidth="1"/>
    <col min="15873" max="15873" width="33.77734375" style="3" customWidth="1"/>
    <col min="15874" max="15874" width="11.44140625" style="3"/>
    <col min="15875" max="15875" width="10.77734375" style="3" bestFit="1" customWidth="1"/>
    <col min="15876" max="15876" width="10.77734375" style="3" customWidth="1"/>
    <col min="15877" max="15877" width="11.21875" style="3" bestFit="1" customWidth="1"/>
    <col min="15878" max="15878" width="11.44140625" style="3"/>
    <col min="15879" max="15879" width="12.44140625" style="3" customWidth="1"/>
    <col min="15880" max="15880" width="11.44140625" style="3"/>
    <col min="15881" max="15881" width="9.77734375" style="3" bestFit="1" customWidth="1"/>
    <col min="15882" max="15882" width="12" style="3" bestFit="1" customWidth="1"/>
    <col min="15883" max="15883" width="11.44140625" style="3"/>
    <col min="15884" max="15884" width="12" style="3" bestFit="1" customWidth="1"/>
    <col min="15885" max="15885" width="10.44140625" style="3" customWidth="1"/>
    <col min="15886" max="15886" width="11.77734375" style="3" bestFit="1" customWidth="1"/>
    <col min="15887" max="15887" width="11.21875" style="3" bestFit="1" customWidth="1"/>
    <col min="15888" max="15890" width="11.44140625" style="3"/>
    <col min="15891" max="15891" width="2.21875" style="3" customWidth="1"/>
    <col min="15892" max="16127" width="11.44140625" style="3"/>
    <col min="16128" max="16128" width="3.21875" style="3" customWidth="1"/>
    <col min="16129" max="16129" width="33.77734375" style="3" customWidth="1"/>
    <col min="16130" max="16130" width="11.44140625" style="3"/>
    <col min="16131" max="16131" width="10.77734375" style="3" bestFit="1" customWidth="1"/>
    <col min="16132" max="16132" width="10.77734375" style="3" customWidth="1"/>
    <col min="16133" max="16133" width="11.21875" style="3" bestFit="1" customWidth="1"/>
    <col min="16134" max="16134" width="11.44140625" style="3"/>
    <col min="16135" max="16135" width="12.44140625" style="3" customWidth="1"/>
    <col min="16136" max="16136" width="11.44140625" style="3"/>
    <col min="16137" max="16137" width="9.77734375" style="3" bestFit="1" customWidth="1"/>
    <col min="16138" max="16138" width="12" style="3" bestFit="1" customWidth="1"/>
    <col min="16139" max="16139" width="11.44140625" style="3"/>
    <col min="16140" max="16140" width="12" style="3" bestFit="1" customWidth="1"/>
    <col min="16141" max="16141" width="10.44140625" style="3" customWidth="1"/>
    <col min="16142" max="16142" width="11.77734375" style="3" bestFit="1" customWidth="1"/>
    <col min="16143" max="16143" width="11.21875" style="3" bestFit="1" customWidth="1"/>
    <col min="16144" max="16146" width="11.44140625" style="3"/>
    <col min="16147" max="16147" width="2.21875" style="3" customWidth="1"/>
    <col min="16148" max="16384" width="11.44140625" style="3"/>
  </cols>
  <sheetData>
    <row r="1" spans="1:18" ht="27" x14ac:dyDescent="0.65">
      <c r="A1" s="1" t="s">
        <v>0</v>
      </c>
      <c r="B1" s="2"/>
      <c r="C1" s="2"/>
      <c r="D1" s="2"/>
      <c r="E1" s="2"/>
      <c r="F1" s="2"/>
      <c r="G1" s="2"/>
      <c r="H1" s="2"/>
      <c r="I1" s="2"/>
      <c r="J1" s="2"/>
      <c r="K1" s="2"/>
      <c r="L1" s="2"/>
      <c r="M1" s="2"/>
      <c r="N1" s="2"/>
      <c r="O1" s="2"/>
      <c r="P1" s="2"/>
      <c r="Q1" s="2"/>
      <c r="R1" s="2"/>
    </row>
    <row r="2" spans="1:18" x14ac:dyDescent="0.45">
      <c r="A2" s="2" t="str">
        <f>"(In "&amp;C10&amp;" Millions Except Per Share Data)"</f>
        <v>(In INR Millions Except Per Share Data)</v>
      </c>
      <c r="B2" s="2"/>
      <c r="C2" s="2"/>
      <c r="D2" s="2"/>
      <c r="E2" s="2"/>
      <c r="F2" s="2"/>
      <c r="G2" s="2"/>
      <c r="H2" s="2"/>
      <c r="I2" s="2"/>
      <c r="J2" s="2"/>
      <c r="K2" s="2"/>
      <c r="L2" s="2"/>
      <c r="M2" s="2"/>
      <c r="N2" s="2"/>
      <c r="O2" s="2"/>
      <c r="P2" s="2"/>
      <c r="Q2" s="2"/>
      <c r="R2" s="2"/>
    </row>
    <row r="3" spans="1:18" ht="17.399999999999999" thickBot="1" x14ac:dyDescent="0.5"/>
    <row r="4" spans="1:18" x14ac:dyDescent="0.45">
      <c r="A4" s="4" t="s">
        <v>2</v>
      </c>
      <c r="B4" s="5"/>
      <c r="C4" s="6"/>
    </row>
    <row r="5" spans="1:18" x14ac:dyDescent="0.45">
      <c r="A5" s="7" t="s">
        <v>3</v>
      </c>
      <c r="C5" s="8" t="s">
        <v>185</v>
      </c>
    </row>
    <row r="6" spans="1:18" x14ac:dyDescent="0.45">
      <c r="A6" s="7" t="s">
        <v>4</v>
      </c>
      <c r="C6" s="151">
        <v>45457</v>
      </c>
    </row>
    <row r="7" spans="1:18" x14ac:dyDescent="0.45">
      <c r="A7" s="7" t="s">
        <v>116</v>
      </c>
      <c r="C7" s="12" t="s">
        <v>193</v>
      </c>
    </row>
    <row r="8" spans="1:18" x14ac:dyDescent="0.45">
      <c r="A8" s="7" t="s">
        <v>8</v>
      </c>
      <c r="C8" s="151">
        <v>45199</v>
      </c>
    </row>
    <row r="9" spans="1:18" x14ac:dyDescent="0.45">
      <c r="A9" s="7" t="s">
        <v>16</v>
      </c>
      <c r="C9" s="151">
        <v>45382</v>
      </c>
    </row>
    <row r="10" spans="1:18" x14ac:dyDescent="0.45">
      <c r="A10" s="7" t="s">
        <v>17</v>
      </c>
      <c r="C10" s="8" t="s">
        <v>189</v>
      </c>
    </row>
    <row r="11" spans="1:18" ht="17.399999999999999" thickBot="1" x14ac:dyDescent="0.5">
      <c r="A11" s="24" t="s">
        <v>18</v>
      </c>
      <c r="B11" s="17"/>
      <c r="C11" s="152">
        <f>30%*1.12*1.04</f>
        <v>0.34944000000000003</v>
      </c>
    </row>
    <row r="13" spans="1:18" ht="17.399999999999999" thickBot="1" x14ac:dyDescent="0.5"/>
    <row r="14" spans="1:18" ht="17.399999999999999" thickBot="1" x14ac:dyDescent="0.5">
      <c r="A14" s="9" t="s">
        <v>19</v>
      </c>
      <c r="B14" s="10"/>
      <c r="C14" s="26" t="s">
        <v>20</v>
      </c>
      <c r="D14" s="26" t="s">
        <v>21</v>
      </c>
      <c r="E14" s="26" t="s">
        <v>22</v>
      </c>
      <c r="F14" s="11"/>
    </row>
    <row r="15" spans="1:18" x14ac:dyDescent="0.45">
      <c r="A15" s="7" t="s">
        <v>23</v>
      </c>
      <c r="C15" s="27">
        <v>7790.3</v>
      </c>
      <c r="D15" s="27"/>
      <c r="E15" s="27"/>
      <c r="F15" s="28"/>
    </row>
    <row r="16" spans="1:18" x14ac:dyDescent="0.45">
      <c r="A16" s="7" t="s">
        <v>24</v>
      </c>
      <c r="C16" s="27">
        <f>356120255/ml</f>
        <v>356.12025499999999</v>
      </c>
      <c r="D16" s="27"/>
      <c r="E16" s="27"/>
      <c r="F16" s="29"/>
    </row>
    <row r="17" spans="1:15" x14ac:dyDescent="0.45">
      <c r="A17" s="7" t="s">
        <v>25</v>
      </c>
      <c r="C17" s="156">
        <f>C16+I45+C53+F60</f>
        <v>356.12025499999999</v>
      </c>
      <c r="D17" s="135"/>
      <c r="E17" s="135"/>
      <c r="F17" s="29"/>
      <c r="G17" s="3" t="s">
        <v>194</v>
      </c>
      <c r="H17" s="3" t="s">
        <v>192</v>
      </c>
    </row>
    <row r="18" spans="1:15" x14ac:dyDescent="0.45">
      <c r="A18" s="7" t="s">
        <v>26</v>
      </c>
      <c r="C18" s="135">
        <f>C15*C17</f>
        <v>2774283.6225264999</v>
      </c>
      <c r="D18" s="135"/>
      <c r="E18" s="135"/>
      <c r="F18" s="30">
        <f>SUM(C18:E18)</f>
        <v>2774283.6225264999</v>
      </c>
      <c r="G18" s="153">
        <v>139165</v>
      </c>
      <c r="H18" s="123">
        <f>F18/G18</f>
        <v>19.935210882955484</v>
      </c>
    </row>
    <row r="19" spans="1:15" x14ac:dyDescent="0.45">
      <c r="A19" s="7"/>
      <c r="C19" s="136" t="s">
        <v>144</v>
      </c>
      <c r="D19" s="136" t="s">
        <v>145</v>
      </c>
      <c r="E19" s="137" t="s">
        <v>146</v>
      </c>
      <c r="F19" s="138"/>
    </row>
    <row r="20" spans="1:15" x14ac:dyDescent="0.45">
      <c r="A20" s="33" t="s">
        <v>163</v>
      </c>
      <c r="C20" s="27">
        <v>86</v>
      </c>
      <c r="D20" s="27">
        <f>H18</f>
        <v>19.935210882955484</v>
      </c>
      <c r="E20" s="135">
        <f>C20*D20</f>
        <v>1714.4281359341717</v>
      </c>
      <c r="F20" s="30">
        <f>CHOOSE(H20,C20,E20)</f>
        <v>1714.4281359341717</v>
      </c>
      <c r="G20" s="3" t="s">
        <v>194</v>
      </c>
      <c r="H20" s="120">
        <v>2</v>
      </c>
      <c r="O20" s="3" t="s">
        <v>144</v>
      </c>
    </row>
    <row r="21" spans="1:15" x14ac:dyDescent="0.45">
      <c r="A21" s="33" t="s">
        <v>28</v>
      </c>
      <c r="E21" s="3" t="s">
        <v>165</v>
      </c>
      <c r="F21" s="138"/>
      <c r="H21" s="120"/>
      <c r="O21" s="3" t="s">
        <v>146</v>
      </c>
    </row>
    <row r="22" spans="1:15" x14ac:dyDescent="0.45">
      <c r="A22" s="33"/>
      <c r="B22" s="3" t="s">
        <v>149</v>
      </c>
      <c r="E22" s="27"/>
      <c r="F22" s="29"/>
      <c r="H22" s="120"/>
    </row>
    <row r="23" spans="1:15" x14ac:dyDescent="0.45">
      <c r="A23" s="7"/>
      <c r="B23" s="36" t="s">
        <v>150</v>
      </c>
      <c r="E23" s="135"/>
      <c r="F23" s="30"/>
      <c r="H23" s="120"/>
      <c r="O23" s="3" t="s">
        <v>147</v>
      </c>
    </row>
    <row r="24" spans="1:15" x14ac:dyDescent="0.45">
      <c r="A24" s="33" t="s">
        <v>29</v>
      </c>
      <c r="E24" s="3" t="s">
        <v>164</v>
      </c>
      <c r="F24" s="138"/>
      <c r="H24" s="120"/>
      <c r="O24" s="3" t="s">
        <v>148</v>
      </c>
    </row>
    <row r="25" spans="1:15" ht="15" customHeight="1" x14ac:dyDescent="0.45">
      <c r="A25" s="7"/>
      <c r="B25" s="36" t="s">
        <v>166</v>
      </c>
      <c r="E25" s="35"/>
      <c r="F25" s="29"/>
      <c r="H25" s="120"/>
    </row>
    <row r="26" spans="1:15" ht="15" customHeight="1" x14ac:dyDescent="0.45">
      <c r="A26" s="7"/>
      <c r="B26" s="36" t="s">
        <v>153</v>
      </c>
      <c r="C26" s="36"/>
      <c r="E26" s="135"/>
      <c r="F26" s="30">
        <v>0</v>
      </c>
      <c r="H26" s="120"/>
      <c r="O26" s="3" t="s">
        <v>151</v>
      </c>
    </row>
    <row r="27" spans="1:15" x14ac:dyDescent="0.45">
      <c r="A27" s="33" t="s">
        <v>34</v>
      </c>
      <c r="E27" s="31"/>
      <c r="F27" s="29"/>
      <c r="O27" s="3" t="s">
        <v>152</v>
      </c>
    </row>
    <row r="28" spans="1:15" ht="15" customHeight="1" x14ac:dyDescent="0.45">
      <c r="A28" s="33"/>
      <c r="B28" s="3" t="s">
        <v>35</v>
      </c>
      <c r="E28" s="31"/>
      <c r="F28" s="32">
        <f>478+221+2653+110</f>
        <v>3462</v>
      </c>
    </row>
    <row r="29" spans="1:15" x14ac:dyDescent="0.45">
      <c r="A29" s="7"/>
      <c r="B29" s="3" t="s">
        <v>36</v>
      </c>
      <c r="E29" s="31"/>
      <c r="F29" s="32">
        <f>992+834</f>
        <v>1826</v>
      </c>
      <c r="H29" s="120"/>
      <c r="O29" s="3" t="s">
        <v>157</v>
      </c>
    </row>
    <row r="30" spans="1:15" x14ac:dyDescent="0.45">
      <c r="A30" s="33" t="s">
        <v>37</v>
      </c>
      <c r="E30" s="31"/>
      <c r="F30" s="32">
        <f>17217+59308</f>
        <v>76525</v>
      </c>
      <c r="O30" s="3" t="s">
        <v>158</v>
      </c>
    </row>
    <row r="31" spans="1:15" x14ac:dyDescent="0.45">
      <c r="A31" s="33" t="s">
        <v>137</v>
      </c>
      <c r="E31" s="31"/>
      <c r="F31" s="32">
        <f>647+14+3</f>
        <v>664</v>
      </c>
    </row>
    <row r="32" spans="1:15" ht="17.399999999999999" thickBot="1" x14ac:dyDescent="0.5">
      <c r="A32" s="46" t="s">
        <v>19</v>
      </c>
      <c r="B32" s="47"/>
      <c r="C32" s="47"/>
      <c r="D32" s="48"/>
      <c r="E32" s="48"/>
      <c r="F32" s="139">
        <f>F18+F20+F23+F26+F29-F30-F31+F28</f>
        <v>2704097.0506624342</v>
      </c>
      <c r="G32" s="139"/>
      <c r="H32" s="57"/>
    </row>
    <row r="33" spans="1:18" ht="15" customHeight="1" x14ac:dyDescent="0.45">
      <c r="A33" s="3" t="s">
        <v>39</v>
      </c>
      <c r="F33" s="140">
        <f>F18/SUM(C17:E17)</f>
        <v>7790.3</v>
      </c>
    </row>
    <row r="34" spans="1:18" ht="17.399999999999999" thickBot="1" x14ac:dyDescent="0.5">
      <c r="H34" s="51"/>
      <c r="I34" s="51"/>
      <c r="J34" s="51"/>
    </row>
    <row r="35" spans="1:18" ht="17.399999999999999" thickBot="1" x14ac:dyDescent="0.5">
      <c r="A35" s="9" t="s">
        <v>1</v>
      </c>
      <c r="B35" s="10"/>
      <c r="C35" s="10"/>
      <c r="D35" s="10"/>
      <c r="E35" s="10"/>
      <c r="F35" s="10"/>
      <c r="G35" s="10"/>
      <c r="H35" s="10"/>
      <c r="I35" s="11"/>
      <c r="J35" s="51"/>
      <c r="K35" s="51"/>
      <c r="L35" s="51"/>
      <c r="M35" s="51"/>
      <c r="N35" s="51"/>
      <c r="O35" s="51"/>
      <c r="P35" s="51"/>
    </row>
    <row r="36" spans="1:18" ht="17.399999999999999" thickBot="1" x14ac:dyDescent="0.5">
      <c r="H36" s="51"/>
      <c r="I36" s="51"/>
      <c r="J36" s="51"/>
      <c r="K36" s="51"/>
      <c r="L36" s="51"/>
      <c r="M36" s="51"/>
      <c r="N36" s="51"/>
      <c r="O36" s="51"/>
      <c r="P36" s="51"/>
      <c r="Q36" s="51"/>
      <c r="R36" s="51"/>
    </row>
    <row r="37" spans="1:18" x14ac:dyDescent="0.45">
      <c r="B37" s="192" t="s">
        <v>138</v>
      </c>
      <c r="C37" s="193"/>
      <c r="D37" s="193"/>
      <c r="E37" s="193"/>
      <c r="F37" s="193"/>
      <c r="G37" s="193"/>
      <c r="H37" s="193"/>
      <c r="I37" s="194"/>
      <c r="K37" s="51"/>
      <c r="L37" s="51"/>
      <c r="M37" s="51"/>
      <c r="N37" s="51"/>
      <c r="O37" s="51"/>
      <c r="P37" s="51"/>
      <c r="Q37" s="51"/>
      <c r="R37" s="51"/>
    </row>
    <row r="38" spans="1:18" ht="16.05" customHeight="1" x14ac:dyDescent="0.45">
      <c r="B38" s="161"/>
      <c r="C38" s="195" t="s">
        <v>89</v>
      </c>
      <c r="D38" s="162" t="s">
        <v>5</v>
      </c>
      <c r="E38" s="163"/>
      <c r="F38" s="197" t="s">
        <v>6</v>
      </c>
      <c r="G38" s="197"/>
      <c r="H38" s="197"/>
      <c r="I38" s="164" t="s">
        <v>7</v>
      </c>
      <c r="J38" s="51"/>
      <c r="K38" s="51"/>
      <c r="L38" s="51"/>
      <c r="M38" s="51"/>
      <c r="N38" s="51"/>
      <c r="O38" s="51"/>
      <c r="P38" s="51"/>
      <c r="Q38" s="51"/>
      <c r="R38" s="51"/>
    </row>
    <row r="39" spans="1:18" x14ac:dyDescent="0.45">
      <c r="B39" s="165"/>
      <c r="C39" s="196"/>
      <c r="D39" s="158" t="s">
        <v>10</v>
      </c>
      <c r="E39" s="158" t="s">
        <v>11</v>
      </c>
      <c r="F39" s="158" t="s">
        <v>12</v>
      </c>
      <c r="G39" s="160" t="s">
        <v>13</v>
      </c>
      <c r="H39" s="160" t="s">
        <v>14</v>
      </c>
      <c r="I39" s="166" t="s">
        <v>15</v>
      </c>
      <c r="J39" s="51"/>
      <c r="K39" s="51"/>
      <c r="L39" s="51"/>
      <c r="M39" s="51"/>
      <c r="N39" s="51"/>
      <c r="O39" s="51"/>
      <c r="P39" s="51"/>
      <c r="Q39" s="51"/>
      <c r="R39" s="51"/>
    </row>
    <row r="40" spans="1:18" x14ac:dyDescent="0.45">
      <c r="B40" s="165" t="s">
        <v>199</v>
      </c>
      <c r="C40" s="128"/>
      <c r="D40" s="128"/>
      <c r="E40" s="141"/>
      <c r="F40" s="128">
        <f>IF(E40="INTM",C40,0)</f>
        <v>0</v>
      </c>
      <c r="G40" s="170">
        <f>F40*D40</f>
        <v>0</v>
      </c>
      <c r="H40" s="171">
        <f>G40/$C$15</f>
        <v>0</v>
      </c>
      <c r="I40" s="172">
        <f>F40-H40</f>
        <v>0</v>
      </c>
      <c r="J40" s="51"/>
      <c r="K40" s="51"/>
      <c r="L40" s="51"/>
      <c r="M40" s="51"/>
      <c r="N40" s="51"/>
      <c r="O40" s="51"/>
      <c r="P40" s="51"/>
      <c r="Q40" s="51"/>
      <c r="R40" s="51"/>
    </row>
    <row r="41" spans="1:18" x14ac:dyDescent="0.45">
      <c r="B41" s="165" t="s">
        <v>200</v>
      </c>
      <c r="C41" s="128"/>
      <c r="D41" s="128"/>
      <c r="E41" s="141"/>
      <c r="F41" s="128">
        <f t="shared" ref="F41:F44" si="0">IF(E41="INTM",C41,0)</f>
        <v>0</v>
      </c>
      <c r="G41" s="170">
        <f t="shared" ref="G41:G44" si="1">F41*D41</f>
        <v>0</v>
      </c>
      <c r="H41" s="171">
        <f t="shared" ref="H41:H44" si="2">G41/$C$15</f>
        <v>0</v>
      </c>
      <c r="I41" s="172">
        <f t="shared" ref="I41:I44" si="3">F41-H41</f>
        <v>0</v>
      </c>
      <c r="J41" s="51"/>
      <c r="K41" s="51"/>
      <c r="L41" s="51"/>
      <c r="M41" s="51"/>
      <c r="N41" s="51"/>
      <c r="O41" s="51"/>
      <c r="P41" s="51"/>
      <c r="Q41" s="51"/>
      <c r="R41" s="51"/>
    </row>
    <row r="42" spans="1:18" x14ac:dyDescent="0.45">
      <c r="B42" s="165" t="s">
        <v>201</v>
      </c>
      <c r="C42" s="128"/>
      <c r="D42" s="128"/>
      <c r="E42" s="141"/>
      <c r="F42" s="128">
        <f t="shared" si="0"/>
        <v>0</v>
      </c>
      <c r="G42" s="170">
        <f t="shared" si="1"/>
        <v>0</v>
      </c>
      <c r="H42" s="171">
        <f t="shared" si="2"/>
        <v>0</v>
      </c>
      <c r="I42" s="172">
        <f t="shared" si="3"/>
        <v>0</v>
      </c>
      <c r="J42" s="51"/>
      <c r="K42" s="51"/>
      <c r="L42" s="51"/>
      <c r="M42" s="51"/>
      <c r="N42" s="51"/>
      <c r="O42" s="51"/>
      <c r="P42" s="51"/>
      <c r="Q42" s="51"/>
      <c r="R42" s="51"/>
    </row>
    <row r="43" spans="1:18" x14ac:dyDescent="0.45">
      <c r="B43" s="165" t="s">
        <v>202</v>
      </c>
      <c r="C43" s="128"/>
      <c r="D43" s="128"/>
      <c r="E43" s="141"/>
      <c r="F43" s="128">
        <f t="shared" si="0"/>
        <v>0</v>
      </c>
      <c r="G43" s="170">
        <f t="shared" si="1"/>
        <v>0</v>
      </c>
      <c r="H43" s="171">
        <f t="shared" si="2"/>
        <v>0</v>
      </c>
      <c r="I43" s="172">
        <f t="shared" si="3"/>
        <v>0</v>
      </c>
      <c r="J43" s="51"/>
      <c r="K43" s="51"/>
      <c r="L43" s="51"/>
      <c r="M43" s="51"/>
      <c r="N43" s="51"/>
      <c r="O43" s="51"/>
      <c r="P43" s="51"/>
      <c r="Q43" s="51"/>
      <c r="R43" s="51"/>
    </row>
    <row r="44" spans="1:18" x14ac:dyDescent="0.45">
      <c r="B44" s="165" t="s">
        <v>203</v>
      </c>
      <c r="C44" s="159"/>
      <c r="D44" s="159"/>
      <c r="E44" s="159"/>
      <c r="F44" s="128">
        <f t="shared" si="0"/>
        <v>0</v>
      </c>
      <c r="G44" s="170">
        <f t="shared" si="1"/>
        <v>0</v>
      </c>
      <c r="H44" s="171">
        <f t="shared" si="2"/>
        <v>0</v>
      </c>
      <c r="I44" s="172">
        <f t="shared" si="3"/>
        <v>0</v>
      </c>
      <c r="J44" s="51"/>
      <c r="K44" s="51"/>
      <c r="L44" s="51"/>
      <c r="M44" s="51"/>
      <c r="N44" s="51"/>
      <c r="O44" s="51"/>
      <c r="P44" s="51"/>
      <c r="Q44" s="51"/>
      <c r="R44" s="51"/>
    </row>
    <row r="45" spans="1:18" x14ac:dyDescent="0.45">
      <c r="B45" s="167"/>
      <c r="C45" s="168"/>
      <c r="D45" s="168"/>
      <c r="E45" s="168"/>
      <c r="F45" s="168"/>
      <c r="G45" s="168"/>
      <c r="H45" s="168"/>
      <c r="I45" s="173">
        <f>SUM(I40:I44)</f>
        <v>0</v>
      </c>
      <c r="J45" s="51"/>
      <c r="K45" s="51"/>
      <c r="L45" s="51"/>
      <c r="M45" s="51"/>
      <c r="N45" s="51"/>
      <c r="O45" s="51"/>
      <c r="P45" s="51"/>
      <c r="Q45" s="51"/>
      <c r="R45" s="51"/>
    </row>
    <row r="46" spans="1:18" ht="17.399999999999999" thickBot="1" x14ac:dyDescent="0.5">
      <c r="H46" s="51"/>
      <c r="I46" s="51"/>
      <c r="J46" s="51"/>
      <c r="K46" s="51"/>
      <c r="L46" s="51"/>
      <c r="M46" s="51"/>
      <c r="N46" s="51"/>
      <c r="O46" s="51"/>
      <c r="P46" s="51"/>
      <c r="Q46" s="51"/>
      <c r="R46" s="51"/>
    </row>
    <row r="47" spans="1:18" ht="17.399999999999999" thickBot="1" x14ac:dyDescent="0.5">
      <c r="B47" s="9" t="s">
        <v>136</v>
      </c>
      <c r="C47" s="11"/>
      <c r="H47" s="51"/>
      <c r="I47" s="51"/>
      <c r="K47" s="51"/>
      <c r="L47" s="51"/>
      <c r="M47" s="51"/>
      <c r="N47" s="51"/>
      <c r="O47" s="51"/>
      <c r="P47" s="51"/>
      <c r="Q47" s="51"/>
      <c r="R47" s="51"/>
    </row>
    <row r="48" spans="1:18" x14ac:dyDescent="0.45">
      <c r="B48" s="39" t="s">
        <v>32</v>
      </c>
      <c r="C48" s="149"/>
      <c r="D48" s="40"/>
      <c r="E48" s="148"/>
      <c r="F48" s="41"/>
      <c r="H48" s="51"/>
      <c r="I48" s="51"/>
      <c r="K48" s="51"/>
      <c r="L48" s="51"/>
      <c r="M48" s="51"/>
      <c r="N48" s="51"/>
      <c r="O48" s="51"/>
      <c r="P48" s="51"/>
      <c r="Q48" s="51"/>
      <c r="R48" s="51"/>
    </row>
    <row r="49" spans="1:18" x14ac:dyDescent="0.45">
      <c r="B49" s="7"/>
      <c r="C49" s="118"/>
      <c r="D49" s="116"/>
      <c r="E49" s="117"/>
      <c r="F49" s="117"/>
      <c r="H49" s="51"/>
      <c r="I49" s="51"/>
      <c r="K49" s="51"/>
      <c r="L49" s="51"/>
      <c r="M49" s="51"/>
      <c r="N49" s="51"/>
      <c r="O49" s="51"/>
      <c r="P49" s="51"/>
      <c r="Q49" s="51"/>
      <c r="R49" s="51"/>
    </row>
    <row r="50" spans="1:18" x14ac:dyDescent="0.45">
      <c r="B50" s="7"/>
      <c r="C50" s="118"/>
      <c r="D50" s="116"/>
      <c r="E50" s="117"/>
      <c r="F50" s="117"/>
      <c r="H50" s="51"/>
      <c r="I50" s="51"/>
      <c r="K50" s="51"/>
      <c r="L50" s="51"/>
      <c r="M50" s="51"/>
      <c r="N50" s="51"/>
      <c r="O50" s="51"/>
      <c r="P50" s="51"/>
      <c r="Q50" s="51"/>
      <c r="R50" s="51"/>
    </row>
    <row r="51" spans="1:18" x14ac:dyDescent="0.45">
      <c r="B51" s="7"/>
      <c r="C51" s="118"/>
      <c r="D51" s="116"/>
      <c r="E51" s="117"/>
      <c r="F51" s="117"/>
      <c r="H51" s="51"/>
      <c r="I51" s="51"/>
      <c r="K51" s="51"/>
      <c r="L51" s="51"/>
      <c r="M51" s="51"/>
      <c r="N51" s="51"/>
      <c r="O51" s="51"/>
      <c r="P51" s="51"/>
      <c r="Q51" s="51"/>
      <c r="R51" s="51"/>
    </row>
    <row r="52" spans="1:18" x14ac:dyDescent="0.45">
      <c r="B52" s="7"/>
      <c r="C52" s="118"/>
      <c r="D52" s="116"/>
      <c r="E52" s="117"/>
      <c r="F52" s="117"/>
      <c r="H52" s="51"/>
      <c r="I52" s="51"/>
      <c r="K52" s="51"/>
      <c r="L52" s="51"/>
      <c r="M52" s="51"/>
      <c r="N52" s="51"/>
      <c r="O52" s="51"/>
      <c r="P52" s="51"/>
      <c r="Q52" s="51"/>
      <c r="R52" s="51"/>
    </row>
    <row r="53" spans="1:18" ht="17.399999999999999" thickBot="1" x14ac:dyDescent="0.5">
      <c r="B53" s="24"/>
      <c r="C53" s="45"/>
      <c r="D53" s="116"/>
      <c r="E53" s="116"/>
      <c r="F53" s="117"/>
      <c r="H53" s="51"/>
      <c r="I53" s="51"/>
      <c r="K53" s="51"/>
      <c r="L53" s="51"/>
      <c r="M53" s="51"/>
      <c r="N53" s="51"/>
      <c r="O53" s="51"/>
      <c r="P53" s="51"/>
      <c r="Q53" s="51"/>
      <c r="R53" s="51"/>
    </row>
    <row r="54" spans="1:18" ht="17.399999999999999" thickBot="1" x14ac:dyDescent="0.5">
      <c r="H54" s="51"/>
      <c r="I54" s="51"/>
      <c r="K54" s="51"/>
      <c r="L54" s="51"/>
      <c r="M54" s="51"/>
      <c r="N54" s="51"/>
      <c r="O54" s="51"/>
      <c r="P54" s="51"/>
      <c r="Q54" s="51"/>
      <c r="R54" s="51"/>
    </row>
    <row r="55" spans="1:18" ht="17.399999999999999" thickBot="1" x14ac:dyDescent="0.5">
      <c r="B55" s="9" t="s">
        <v>154</v>
      </c>
      <c r="C55" s="10"/>
      <c r="D55" s="10"/>
      <c r="E55" s="10"/>
      <c r="F55" s="11"/>
      <c r="H55" s="51"/>
      <c r="I55" s="51"/>
      <c r="K55" s="51"/>
      <c r="L55" s="51"/>
      <c r="M55" s="51"/>
      <c r="N55" s="51"/>
      <c r="O55" s="51"/>
      <c r="P55" s="51"/>
      <c r="Q55" s="51"/>
      <c r="R55" s="51"/>
    </row>
    <row r="56" spans="1:18" ht="16.05" customHeight="1" x14ac:dyDescent="0.45">
      <c r="B56" s="37"/>
      <c r="C56" s="38"/>
      <c r="D56" s="38"/>
      <c r="E56" s="180" t="s">
        <v>30</v>
      </c>
      <c r="F56" s="182" t="s">
        <v>31</v>
      </c>
      <c r="H56" s="51"/>
      <c r="I56" s="51"/>
      <c r="K56" s="51"/>
      <c r="L56" s="51"/>
      <c r="M56" s="51"/>
      <c r="N56" s="51"/>
      <c r="O56" s="51"/>
      <c r="P56" s="51"/>
      <c r="Q56" s="51"/>
      <c r="R56" s="51"/>
    </row>
    <row r="57" spans="1:18" x14ac:dyDescent="0.45">
      <c r="B57" s="39" t="s">
        <v>32</v>
      </c>
      <c r="C57" s="40" t="s">
        <v>33</v>
      </c>
      <c r="D57" s="40" t="s">
        <v>155</v>
      </c>
      <c r="E57" s="181"/>
      <c r="F57" s="183"/>
      <c r="H57" s="51"/>
      <c r="I57" s="51"/>
      <c r="K57" s="51"/>
      <c r="L57" s="51"/>
      <c r="M57" s="51"/>
      <c r="N57" s="51"/>
      <c r="O57" s="51"/>
      <c r="P57" s="51"/>
      <c r="Q57" s="51"/>
      <c r="R57" s="51"/>
    </row>
    <row r="58" spans="1:18" x14ac:dyDescent="0.45">
      <c r="B58" s="7"/>
      <c r="C58" s="27"/>
      <c r="D58" s="27"/>
      <c r="E58" s="42"/>
      <c r="F58" s="43"/>
      <c r="H58" s="51"/>
      <c r="I58" s="51"/>
      <c r="K58" s="51"/>
      <c r="L58" s="51"/>
      <c r="M58" s="51"/>
      <c r="N58" s="51"/>
      <c r="O58" s="51"/>
      <c r="P58" s="51"/>
      <c r="Q58" s="51"/>
      <c r="R58" s="51"/>
    </row>
    <row r="59" spans="1:18" x14ac:dyDescent="0.45">
      <c r="B59" s="7"/>
      <c r="C59" s="27"/>
      <c r="D59" s="27"/>
      <c r="E59" s="42"/>
      <c r="F59" s="43"/>
      <c r="H59" s="51"/>
      <c r="I59" s="51"/>
      <c r="K59" s="51"/>
      <c r="L59" s="51"/>
      <c r="M59" s="51"/>
      <c r="N59" s="51"/>
      <c r="O59" s="51"/>
      <c r="P59" s="51"/>
      <c r="Q59" s="51"/>
      <c r="R59" s="51"/>
    </row>
    <row r="60" spans="1:18" ht="17.399999999999999" thickBot="1" x14ac:dyDescent="0.5">
      <c r="B60" s="24"/>
      <c r="C60" s="44"/>
      <c r="D60" s="44"/>
      <c r="E60" s="44"/>
      <c r="F60" s="45"/>
      <c r="H60" s="51"/>
      <c r="I60" s="51"/>
      <c r="K60" s="51"/>
      <c r="L60" s="51"/>
      <c r="M60" s="51"/>
      <c r="N60" s="51"/>
      <c r="O60" s="51"/>
      <c r="P60" s="51"/>
      <c r="Q60" s="51"/>
      <c r="R60" s="51"/>
    </row>
    <row r="61" spans="1:18" x14ac:dyDescent="0.45">
      <c r="H61" s="51"/>
      <c r="I61" s="51"/>
      <c r="J61" s="51"/>
      <c r="K61" s="51"/>
      <c r="L61" s="51"/>
      <c r="M61" s="51"/>
      <c r="N61" s="51"/>
      <c r="O61" s="51"/>
      <c r="P61" s="51"/>
      <c r="Q61" s="51"/>
      <c r="R61" s="51"/>
    </row>
    <row r="62" spans="1:18" x14ac:dyDescent="0.45">
      <c r="I62" s="190" t="s">
        <v>139</v>
      </c>
      <c r="J62" s="190"/>
      <c r="K62" s="190"/>
      <c r="L62" s="191" t="s">
        <v>140</v>
      </c>
      <c r="M62" s="191"/>
    </row>
    <row r="63" spans="1:18" ht="16.05" customHeight="1" x14ac:dyDescent="0.45">
      <c r="A63" s="2" t="s">
        <v>40</v>
      </c>
      <c r="B63" s="2"/>
      <c r="C63" s="2"/>
      <c r="D63" s="2"/>
      <c r="E63" s="52" t="s">
        <v>41</v>
      </c>
      <c r="F63" s="52" t="s">
        <v>42</v>
      </c>
      <c r="G63" s="52" t="s">
        <v>43</v>
      </c>
      <c r="H63" s="52" t="s">
        <v>44</v>
      </c>
      <c r="I63" s="53" t="s">
        <v>45</v>
      </c>
      <c r="J63" s="53" t="s">
        <v>46</v>
      </c>
      <c r="K63" s="53" t="s">
        <v>47</v>
      </c>
      <c r="L63" s="53" t="s">
        <v>45</v>
      </c>
      <c r="M63" s="53" t="s">
        <v>46</v>
      </c>
      <c r="O63" s="120" t="s">
        <v>156</v>
      </c>
    </row>
    <row r="64" spans="1:18" x14ac:dyDescent="0.45">
      <c r="E64" s="120" t="s">
        <v>48</v>
      </c>
      <c r="F64" s="122">
        <f>YEARFRAC(C8,C9)*12</f>
        <v>6</v>
      </c>
      <c r="G64" s="122">
        <f>F64</f>
        <v>6</v>
      </c>
      <c r="H64" s="121">
        <f>C9</f>
        <v>45382</v>
      </c>
      <c r="I64" s="125">
        <v>45565</v>
      </c>
      <c r="J64" s="125">
        <f>EDATE(I64,12)</f>
        <v>45930</v>
      </c>
      <c r="K64" s="125">
        <f>EDATE(J64,12)</f>
        <v>46295</v>
      </c>
      <c r="L64" s="126">
        <v>45747</v>
      </c>
      <c r="M64" s="127">
        <f>EDATE(L64,12)</f>
        <v>46112</v>
      </c>
    </row>
    <row r="65" spans="1:20" ht="17.399999999999999" thickBot="1" x14ac:dyDescent="0.5">
      <c r="A65" s="3" t="s">
        <v>49</v>
      </c>
      <c r="E65" s="27">
        <v>195538</v>
      </c>
      <c r="F65" s="27">
        <v>105751</v>
      </c>
      <c r="G65" s="54">
        <v>88729</v>
      </c>
      <c r="H65" s="55">
        <f>E65+F65-G65</f>
        <v>212560</v>
      </c>
      <c r="I65" s="207">
        <v>218531</v>
      </c>
      <c r="J65" s="207">
        <v>265889</v>
      </c>
      <c r="K65" s="207">
        <v>327607</v>
      </c>
      <c r="L65" s="55">
        <f>I65*(1-YEARFRAC(I$64,L$64))+J65*YEARFRAC(I$64,L$64)</f>
        <v>242210</v>
      </c>
      <c r="M65" s="55">
        <f>J65*(1-YEARFRAC(J$64,M$64))+K65*YEARFRAC(J$64,M$64)</f>
        <v>296748</v>
      </c>
      <c r="O65" s="145">
        <f>IFERROR((K65/E65)^(1/3)-1,0)</f>
        <v>0.1877015812014764</v>
      </c>
      <c r="T65" s="123"/>
    </row>
    <row r="66" spans="1:20" ht="5.25" customHeight="1" x14ac:dyDescent="0.5">
      <c r="E66" s="31"/>
      <c r="F66" s="31"/>
      <c r="G66" s="31"/>
      <c r="H66" s="31"/>
      <c r="I66" s="208"/>
      <c r="J66" s="208"/>
    </row>
    <row r="67" spans="1:20" ht="18" x14ac:dyDescent="0.5">
      <c r="A67" s="3" t="s">
        <v>50</v>
      </c>
      <c r="E67" s="27">
        <f>26397+1+228-4962</f>
        <v>21664</v>
      </c>
      <c r="F67" s="27">
        <f>17663-1+347-4851</f>
        <v>13158</v>
      </c>
      <c r="G67" s="27">
        <f>12705+136-2183</f>
        <v>10658</v>
      </c>
      <c r="H67" s="55">
        <f>E67+F67-G67</f>
        <v>24164</v>
      </c>
      <c r="I67" s="208"/>
      <c r="J67" s="208"/>
      <c r="L67" s="57"/>
      <c r="M67" s="57"/>
      <c r="T67" s="57"/>
    </row>
    <row r="68" spans="1:20" s="49" customFormat="1" ht="18" x14ac:dyDescent="0.5">
      <c r="A68" s="3" t="s">
        <v>51</v>
      </c>
      <c r="E68" s="27">
        <v>0</v>
      </c>
      <c r="F68" s="27">
        <v>0</v>
      </c>
      <c r="G68" s="27">
        <v>0</v>
      </c>
      <c r="H68" s="55">
        <f>E68+F68-G68</f>
        <v>0</v>
      </c>
      <c r="I68" s="209"/>
      <c r="J68" s="209"/>
      <c r="L68" s="124"/>
    </row>
    <row r="69" spans="1:20" s="49" customFormat="1" ht="17.399999999999999" thickBot="1" x14ac:dyDescent="0.5">
      <c r="A69" s="56" t="s">
        <v>52</v>
      </c>
      <c r="E69" s="142">
        <f>SUM(E67:E68)</f>
        <v>21664</v>
      </c>
      <c r="F69" s="142">
        <f t="shared" ref="F69:H70" si="4">SUM(F67:F68)</f>
        <v>13158</v>
      </c>
      <c r="G69" s="142">
        <f t="shared" si="4"/>
        <v>10658</v>
      </c>
      <c r="H69" s="142">
        <f t="shared" si="4"/>
        <v>24164</v>
      </c>
      <c r="I69" s="207">
        <v>26328</v>
      </c>
      <c r="J69" s="207">
        <v>31779</v>
      </c>
      <c r="K69" s="207">
        <v>39325</v>
      </c>
      <c r="L69" s="55">
        <f>I69*(1-YEARFRAC(I$64,L$64))+J69*YEARFRAC(I$64,L$64)</f>
        <v>29053.5</v>
      </c>
      <c r="M69" s="55">
        <f>J69*(1-YEARFRAC(J$64,M$64))+K69*YEARFRAC(J$64,M$64)</f>
        <v>35552</v>
      </c>
      <c r="O69" s="145">
        <f>IFERROR((K69/E69)^(1/3)-1,0)</f>
        <v>0.21986010491948371</v>
      </c>
    </row>
    <row r="70" spans="1:20" ht="18" x14ac:dyDescent="0.5">
      <c r="A70" s="3" t="s">
        <v>53</v>
      </c>
      <c r="E70" s="27">
        <v>3208</v>
      </c>
      <c r="F70" s="27">
        <v>1585</v>
      </c>
      <c r="G70" s="27">
        <v>1546</v>
      </c>
      <c r="H70" s="142">
        <f t="shared" si="4"/>
        <v>24164</v>
      </c>
      <c r="I70" s="208"/>
      <c r="J70" s="208"/>
    </row>
    <row r="71" spans="1:20" s="49" customFormat="1" ht="17.399999999999999" thickBot="1" x14ac:dyDescent="0.5">
      <c r="A71" s="49" t="s">
        <v>54</v>
      </c>
      <c r="E71" s="142">
        <f>E69+E70</f>
        <v>24872</v>
      </c>
      <c r="F71" s="142">
        <f t="shared" ref="F71:G71" si="5">F69+F70</f>
        <v>14743</v>
      </c>
      <c r="G71" s="142">
        <f t="shared" si="5"/>
        <v>12204</v>
      </c>
      <c r="H71" s="55">
        <f>E71+F71-G71</f>
        <v>27411</v>
      </c>
      <c r="I71" s="207">
        <v>29184</v>
      </c>
      <c r="J71" s="207">
        <v>35662</v>
      </c>
      <c r="K71" s="207">
        <v>45485</v>
      </c>
      <c r="L71" s="55">
        <f>I71*(1-YEARFRAC(I$64,L$64))+J71*YEARFRAC(I$64,L$64)</f>
        <v>32423</v>
      </c>
      <c r="M71" s="55">
        <f>J71*(1-YEARFRAC(J$64,M$64))+K71*YEARFRAC(J$64,M$64)</f>
        <v>40573.5</v>
      </c>
      <c r="O71" s="145">
        <f>IFERROR((K71/E71)^(1/3)-1,0)</f>
        <v>0.22288559712652312</v>
      </c>
    </row>
    <row r="72" spans="1:20" ht="6" customHeight="1" x14ac:dyDescent="0.5">
      <c r="E72" s="31"/>
      <c r="F72" s="31"/>
      <c r="G72" s="31"/>
      <c r="H72" s="31"/>
      <c r="I72" s="208"/>
      <c r="J72" s="208"/>
    </row>
    <row r="73" spans="1:20" ht="18" x14ac:dyDescent="0.5">
      <c r="A73" s="3" t="s">
        <v>167</v>
      </c>
      <c r="E73" s="27">
        <v>19619</v>
      </c>
      <c r="F73" s="27">
        <v>13086</v>
      </c>
      <c r="G73" s="27">
        <v>9345</v>
      </c>
      <c r="H73" s="55">
        <f>E73+F73-G73</f>
        <v>23360</v>
      </c>
      <c r="I73" s="208"/>
      <c r="J73" s="208"/>
    </row>
    <row r="74" spans="1:20" ht="18" x14ac:dyDescent="0.5">
      <c r="A74" s="3" t="s">
        <v>55</v>
      </c>
      <c r="E74" s="135">
        <f>E68</f>
        <v>0</v>
      </c>
      <c r="F74" s="135">
        <f t="shared" ref="F74:H74" si="6">F68</f>
        <v>0</v>
      </c>
      <c r="G74" s="135">
        <f t="shared" si="6"/>
        <v>0</v>
      </c>
      <c r="H74" s="135">
        <f t="shared" si="6"/>
        <v>0</v>
      </c>
      <c r="I74" s="208"/>
      <c r="J74" s="208"/>
    </row>
    <row r="75" spans="1:20" ht="18" x14ac:dyDescent="0.5">
      <c r="A75" s="3" t="s">
        <v>56</v>
      </c>
      <c r="E75" s="27">
        <v>-275</v>
      </c>
      <c r="F75" s="27">
        <v>0</v>
      </c>
      <c r="G75" s="27">
        <v>0</v>
      </c>
      <c r="H75" s="55">
        <f>E75+F75-G75</f>
        <v>-275</v>
      </c>
      <c r="I75" s="208"/>
      <c r="J75" s="208"/>
    </row>
    <row r="76" spans="1:20" ht="18" x14ac:dyDescent="0.5">
      <c r="A76" s="3" t="s">
        <v>57</v>
      </c>
      <c r="E76" s="135">
        <f>-E75*$C$11</f>
        <v>96.096000000000004</v>
      </c>
      <c r="F76" s="135">
        <f t="shared" ref="F76:G76" si="7">-F75*$C$11</f>
        <v>0</v>
      </c>
      <c r="G76" s="135">
        <f t="shared" si="7"/>
        <v>0</v>
      </c>
      <c r="H76" s="3">
        <v>0</v>
      </c>
      <c r="I76" s="208"/>
      <c r="J76" s="208"/>
    </row>
    <row r="77" spans="1:20" s="49" customFormat="1" ht="17.399999999999999" thickBot="1" x14ac:dyDescent="0.5">
      <c r="A77" s="49" t="s">
        <v>120</v>
      </c>
      <c r="E77" s="143">
        <f>SUM(E73:E76)</f>
        <v>19440.096000000001</v>
      </c>
      <c r="F77" s="143">
        <f t="shared" ref="F77:G77" si="8">SUM(F73:F76)</f>
        <v>13086</v>
      </c>
      <c r="G77" s="143">
        <f t="shared" si="8"/>
        <v>9345</v>
      </c>
      <c r="H77" s="55">
        <f>E77+F77-G77</f>
        <v>23181.096000000001</v>
      </c>
      <c r="I77" s="207">
        <v>25445</v>
      </c>
      <c r="J77" s="207">
        <v>29841</v>
      </c>
      <c r="K77" s="207">
        <v>36946</v>
      </c>
      <c r="L77" s="55">
        <f>I77*(1-YEARFRAC(I$64,L$64))+J77*YEARFRAC(I$64,L$64)</f>
        <v>27643</v>
      </c>
      <c r="M77" s="55">
        <f>J77*(1-YEARFRAC(J$64,M$64))+K77*YEARFRAC(J$64,M$64)</f>
        <v>33393.5</v>
      </c>
      <c r="O77" s="145">
        <f>IFERROR((K77/E77)^(1/3)-1,0)</f>
        <v>0.23867205611470199</v>
      </c>
    </row>
    <row r="78" spans="1:20" ht="18" x14ac:dyDescent="0.5">
      <c r="E78" s="31"/>
      <c r="F78" s="31"/>
      <c r="G78" s="31"/>
      <c r="H78" s="31"/>
      <c r="I78" s="208"/>
      <c r="J78" s="208"/>
    </row>
    <row r="79" spans="1:20" ht="18" x14ac:dyDescent="0.5">
      <c r="A79" s="3" t="s">
        <v>58</v>
      </c>
      <c r="E79" s="27">
        <f>356120255/ml</f>
        <v>356.12025499999999</v>
      </c>
      <c r="F79" s="27">
        <f>F73/36.76</f>
        <v>355.98476605005442</v>
      </c>
      <c r="G79" s="27">
        <f>G73/26.25</f>
        <v>356</v>
      </c>
      <c r="H79" s="31"/>
      <c r="I79" s="208"/>
      <c r="J79" s="208"/>
    </row>
    <row r="80" spans="1:20" ht="17.399999999999999" thickBot="1" x14ac:dyDescent="0.5">
      <c r="A80" s="3" t="s">
        <v>59</v>
      </c>
      <c r="E80" s="144">
        <f>E77/E79</f>
        <v>54.588571492514525</v>
      </c>
      <c r="F80" s="144">
        <f>F73/F79</f>
        <v>36.76</v>
      </c>
      <c r="G80" s="144">
        <f>G73/G79</f>
        <v>26.25</v>
      </c>
      <c r="H80" s="55">
        <f>E80+F80-G80</f>
        <v>65.098571492514523</v>
      </c>
      <c r="I80" s="210">
        <v>71.900000000000006</v>
      </c>
      <c r="J80" s="210">
        <v>83.85</v>
      </c>
      <c r="K80" s="210">
        <v>108.4</v>
      </c>
      <c r="L80" s="55">
        <f>I80*(1-YEARFRAC(I$64,L$64))+J80*YEARFRAC(I$64,L$64)</f>
        <v>77.875</v>
      </c>
      <c r="M80" s="55">
        <f>J80*(1-YEARFRAC(J$64,M$64))+K80*YEARFRAC(J$64,M$64)</f>
        <v>96.125</v>
      </c>
      <c r="O80" s="145">
        <f>IFERROR((K80/E80)^(1/3)-1,0)</f>
        <v>0.25692447863472312</v>
      </c>
    </row>
  </sheetData>
  <mergeCells count="7">
    <mergeCell ref="L62:M62"/>
    <mergeCell ref="B37:I37"/>
    <mergeCell ref="C38:C39"/>
    <mergeCell ref="F38:H38"/>
    <mergeCell ref="E56:E57"/>
    <mergeCell ref="F56:F57"/>
    <mergeCell ref="I62:K62"/>
  </mergeCells>
  <pageMargins left="0.7" right="0.7" top="0.75" bottom="0.75" header="0.3" footer="0.3"/>
  <pageSetup paperSize="9" orientation="portrait" horizontalDpi="300"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Drop Down 1">
              <controlPr defaultSize="0" autoLine="0" autoPict="0">
                <anchor moveWithCells="1">
                  <from>
                    <xdr:col>6</xdr:col>
                    <xdr:colOff>30480</xdr:colOff>
                    <xdr:row>19</xdr:row>
                    <xdr:rowOff>0</xdr:rowOff>
                  </from>
                  <to>
                    <xdr:col>7</xdr:col>
                    <xdr:colOff>144780</xdr:colOff>
                    <xdr:row>20</xdr:row>
                    <xdr:rowOff>7620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92"/>
  <sheetViews>
    <sheetView showGridLines="0" topLeftCell="C61" zoomScale="102" zoomScaleNormal="100" workbookViewId="0">
      <selection activeCell="M67" sqref="M67"/>
    </sheetView>
  </sheetViews>
  <sheetFormatPr defaultColWidth="11.44140625" defaultRowHeight="16.8" x14ac:dyDescent="0.45"/>
  <cols>
    <col min="1" max="1" width="3.21875" style="3" customWidth="1"/>
    <col min="2" max="2" width="33.77734375" style="3" customWidth="1"/>
    <col min="3" max="3" width="11.44140625" style="3"/>
    <col min="4" max="4" width="10.77734375" style="3" bestFit="1" customWidth="1"/>
    <col min="5" max="5" width="10.77734375" style="3" customWidth="1"/>
    <col min="6" max="7" width="11.21875" style="3" bestFit="1" customWidth="1"/>
    <col min="8" max="8" width="14" style="3" customWidth="1"/>
    <col min="9" max="9" width="13" style="3" customWidth="1"/>
    <col min="10" max="10" width="11.77734375" style="3" bestFit="1" customWidth="1"/>
    <col min="11" max="11" width="12" style="3" bestFit="1" customWidth="1"/>
    <col min="12" max="12" width="11.44140625" style="3"/>
    <col min="13" max="13" width="12" style="3" bestFit="1" customWidth="1"/>
    <col min="14" max="14" width="10.44140625" style="3" customWidth="1"/>
    <col min="15" max="15" width="11.77734375" style="3" bestFit="1" customWidth="1"/>
    <col min="16" max="16" width="11.21875" style="3" bestFit="1" customWidth="1"/>
    <col min="17" max="18" width="11.44140625" style="3"/>
    <col min="19" max="19" width="2.21875" style="3" customWidth="1"/>
    <col min="20" max="255" width="11.44140625" style="3"/>
    <col min="256" max="256" width="3.21875" style="3" customWidth="1"/>
    <col min="257" max="257" width="33.77734375" style="3" customWidth="1"/>
    <col min="258" max="258" width="11.44140625" style="3"/>
    <col min="259" max="259" width="10.77734375" style="3" bestFit="1" customWidth="1"/>
    <col min="260" max="260" width="10.77734375" style="3" customWidth="1"/>
    <col min="261" max="261" width="11.21875" style="3" bestFit="1" customWidth="1"/>
    <col min="262" max="262" width="11.44140625" style="3"/>
    <col min="263" max="263" width="12.44140625" style="3" customWidth="1"/>
    <col min="264" max="264" width="11.44140625" style="3"/>
    <col min="265" max="265" width="9.77734375" style="3" bestFit="1" customWidth="1"/>
    <col min="266" max="266" width="12" style="3" bestFit="1" customWidth="1"/>
    <col min="267" max="267" width="11.44140625" style="3"/>
    <col min="268" max="268" width="12" style="3" bestFit="1" customWidth="1"/>
    <col min="269" max="269" width="10.44140625" style="3" customWidth="1"/>
    <col min="270" max="270" width="11.77734375" style="3" bestFit="1" customWidth="1"/>
    <col min="271" max="271" width="11.21875" style="3" bestFit="1" customWidth="1"/>
    <col min="272" max="274" width="11.44140625" style="3"/>
    <col min="275" max="275" width="2.21875" style="3" customWidth="1"/>
    <col min="276" max="511" width="11.44140625" style="3"/>
    <col min="512" max="512" width="3.21875" style="3" customWidth="1"/>
    <col min="513" max="513" width="33.77734375" style="3" customWidth="1"/>
    <col min="514" max="514" width="11.44140625" style="3"/>
    <col min="515" max="515" width="10.77734375" style="3" bestFit="1" customWidth="1"/>
    <col min="516" max="516" width="10.77734375" style="3" customWidth="1"/>
    <col min="517" max="517" width="11.21875" style="3" bestFit="1" customWidth="1"/>
    <col min="518" max="518" width="11.44140625" style="3"/>
    <col min="519" max="519" width="12.44140625" style="3" customWidth="1"/>
    <col min="520" max="520" width="11.44140625" style="3"/>
    <col min="521" max="521" width="9.77734375" style="3" bestFit="1" customWidth="1"/>
    <col min="522" max="522" width="12" style="3" bestFit="1" customWidth="1"/>
    <col min="523" max="523" width="11.44140625" style="3"/>
    <col min="524" max="524" width="12" style="3" bestFit="1" customWidth="1"/>
    <col min="525" max="525" width="10.44140625" style="3" customWidth="1"/>
    <col min="526" max="526" width="11.77734375" style="3" bestFit="1" customWidth="1"/>
    <col min="527" max="527" width="11.21875" style="3" bestFit="1" customWidth="1"/>
    <col min="528" max="530" width="11.44140625" style="3"/>
    <col min="531" max="531" width="2.21875" style="3" customWidth="1"/>
    <col min="532" max="767" width="11.44140625" style="3"/>
    <col min="768" max="768" width="3.21875" style="3" customWidth="1"/>
    <col min="769" max="769" width="33.77734375" style="3" customWidth="1"/>
    <col min="770" max="770" width="11.44140625" style="3"/>
    <col min="771" max="771" width="10.77734375" style="3" bestFit="1" customWidth="1"/>
    <col min="772" max="772" width="10.77734375" style="3" customWidth="1"/>
    <col min="773" max="773" width="11.21875" style="3" bestFit="1" customWidth="1"/>
    <col min="774" max="774" width="11.44140625" style="3"/>
    <col min="775" max="775" width="12.44140625" style="3" customWidth="1"/>
    <col min="776" max="776" width="11.44140625" style="3"/>
    <col min="777" max="777" width="9.77734375" style="3" bestFit="1" customWidth="1"/>
    <col min="778" max="778" width="12" style="3" bestFit="1" customWidth="1"/>
    <col min="779" max="779" width="11.44140625" style="3"/>
    <col min="780" max="780" width="12" style="3" bestFit="1" customWidth="1"/>
    <col min="781" max="781" width="10.44140625" style="3" customWidth="1"/>
    <col min="782" max="782" width="11.77734375" style="3" bestFit="1" customWidth="1"/>
    <col min="783" max="783" width="11.21875" style="3" bestFit="1" customWidth="1"/>
    <col min="784" max="786" width="11.44140625" style="3"/>
    <col min="787" max="787" width="2.21875" style="3" customWidth="1"/>
    <col min="788" max="1023" width="11.44140625" style="3"/>
    <col min="1024" max="1024" width="3.21875" style="3" customWidth="1"/>
    <col min="1025" max="1025" width="33.77734375" style="3" customWidth="1"/>
    <col min="1026" max="1026" width="11.44140625" style="3"/>
    <col min="1027" max="1027" width="10.77734375" style="3" bestFit="1" customWidth="1"/>
    <col min="1028" max="1028" width="10.77734375" style="3" customWidth="1"/>
    <col min="1029" max="1029" width="11.21875" style="3" bestFit="1" customWidth="1"/>
    <col min="1030" max="1030" width="11.44140625" style="3"/>
    <col min="1031" max="1031" width="12.44140625" style="3" customWidth="1"/>
    <col min="1032" max="1032" width="11.44140625" style="3"/>
    <col min="1033" max="1033" width="9.77734375" style="3" bestFit="1" customWidth="1"/>
    <col min="1034" max="1034" width="12" style="3" bestFit="1" customWidth="1"/>
    <col min="1035" max="1035" width="11.44140625" style="3"/>
    <col min="1036" max="1036" width="12" style="3" bestFit="1" customWidth="1"/>
    <col min="1037" max="1037" width="10.44140625" style="3" customWidth="1"/>
    <col min="1038" max="1038" width="11.77734375" style="3" bestFit="1" customWidth="1"/>
    <col min="1039" max="1039" width="11.21875" style="3" bestFit="1" customWidth="1"/>
    <col min="1040" max="1042" width="11.44140625" style="3"/>
    <col min="1043" max="1043" width="2.21875" style="3" customWidth="1"/>
    <col min="1044" max="1279" width="11.44140625" style="3"/>
    <col min="1280" max="1280" width="3.21875" style="3" customWidth="1"/>
    <col min="1281" max="1281" width="33.77734375" style="3" customWidth="1"/>
    <col min="1282" max="1282" width="11.44140625" style="3"/>
    <col min="1283" max="1283" width="10.77734375" style="3" bestFit="1" customWidth="1"/>
    <col min="1284" max="1284" width="10.77734375" style="3" customWidth="1"/>
    <col min="1285" max="1285" width="11.21875" style="3" bestFit="1" customWidth="1"/>
    <col min="1286" max="1286" width="11.44140625" style="3"/>
    <col min="1287" max="1287" width="12.44140625" style="3" customWidth="1"/>
    <col min="1288" max="1288" width="11.44140625" style="3"/>
    <col min="1289" max="1289" width="9.77734375" style="3" bestFit="1" customWidth="1"/>
    <col min="1290" max="1290" width="12" style="3" bestFit="1" customWidth="1"/>
    <col min="1291" max="1291" width="11.44140625" style="3"/>
    <col min="1292" max="1292" width="12" style="3" bestFit="1" customWidth="1"/>
    <col min="1293" max="1293" width="10.44140625" style="3" customWidth="1"/>
    <col min="1294" max="1294" width="11.77734375" style="3" bestFit="1" customWidth="1"/>
    <col min="1295" max="1295" width="11.21875" style="3" bestFit="1" customWidth="1"/>
    <col min="1296" max="1298" width="11.44140625" style="3"/>
    <col min="1299" max="1299" width="2.21875" style="3" customWidth="1"/>
    <col min="1300" max="1535" width="11.44140625" style="3"/>
    <col min="1536" max="1536" width="3.21875" style="3" customWidth="1"/>
    <col min="1537" max="1537" width="33.77734375" style="3" customWidth="1"/>
    <col min="1538" max="1538" width="11.44140625" style="3"/>
    <col min="1539" max="1539" width="10.77734375" style="3" bestFit="1" customWidth="1"/>
    <col min="1540" max="1540" width="10.77734375" style="3" customWidth="1"/>
    <col min="1541" max="1541" width="11.21875" style="3" bestFit="1" customWidth="1"/>
    <col min="1542" max="1542" width="11.44140625" style="3"/>
    <col min="1543" max="1543" width="12.44140625" style="3" customWidth="1"/>
    <col min="1544" max="1544" width="11.44140625" style="3"/>
    <col min="1545" max="1545" width="9.77734375" style="3" bestFit="1" customWidth="1"/>
    <col min="1546" max="1546" width="12" style="3" bestFit="1" customWidth="1"/>
    <col min="1547" max="1547" width="11.44140625" style="3"/>
    <col min="1548" max="1548" width="12" style="3" bestFit="1" customWidth="1"/>
    <col min="1549" max="1549" width="10.44140625" style="3" customWidth="1"/>
    <col min="1550" max="1550" width="11.77734375" style="3" bestFit="1" customWidth="1"/>
    <col min="1551" max="1551" width="11.21875" style="3" bestFit="1" customWidth="1"/>
    <col min="1552" max="1554" width="11.44140625" style="3"/>
    <col min="1555" max="1555" width="2.21875" style="3" customWidth="1"/>
    <col min="1556" max="1791" width="11.44140625" style="3"/>
    <col min="1792" max="1792" width="3.21875" style="3" customWidth="1"/>
    <col min="1793" max="1793" width="33.77734375" style="3" customWidth="1"/>
    <col min="1794" max="1794" width="11.44140625" style="3"/>
    <col min="1795" max="1795" width="10.77734375" style="3" bestFit="1" customWidth="1"/>
    <col min="1796" max="1796" width="10.77734375" style="3" customWidth="1"/>
    <col min="1797" max="1797" width="11.21875" style="3" bestFit="1" customWidth="1"/>
    <col min="1798" max="1798" width="11.44140625" style="3"/>
    <col min="1799" max="1799" width="12.44140625" style="3" customWidth="1"/>
    <col min="1800" max="1800" width="11.44140625" style="3"/>
    <col min="1801" max="1801" width="9.77734375" style="3" bestFit="1" customWidth="1"/>
    <col min="1802" max="1802" width="12" style="3" bestFit="1" customWidth="1"/>
    <col min="1803" max="1803" width="11.44140625" style="3"/>
    <col min="1804" max="1804" width="12" style="3" bestFit="1" customWidth="1"/>
    <col min="1805" max="1805" width="10.44140625" style="3" customWidth="1"/>
    <col min="1806" max="1806" width="11.77734375" style="3" bestFit="1" customWidth="1"/>
    <col min="1807" max="1807" width="11.21875" style="3" bestFit="1" customWidth="1"/>
    <col min="1808" max="1810" width="11.44140625" style="3"/>
    <col min="1811" max="1811" width="2.21875" style="3" customWidth="1"/>
    <col min="1812" max="2047" width="11.44140625" style="3"/>
    <col min="2048" max="2048" width="3.21875" style="3" customWidth="1"/>
    <col min="2049" max="2049" width="33.77734375" style="3" customWidth="1"/>
    <col min="2050" max="2050" width="11.44140625" style="3"/>
    <col min="2051" max="2051" width="10.77734375" style="3" bestFit="1" customWidth="1"/>
    <col min="2052" max="2052" width="10.77734375" style="3" customWidth="1"/>
    <col min="2053" max="2053" width="11.21875" style="3" bestFit="1" customWidth="1"/>
    <col min="2054" max="2054" width="11.44140625" style="3"/>
    <col min="2055" max="2055" width="12.44140625" style="3" customWidth="1"/>
    <col min="2056" max="2056" width="11.44140625" style="3"/>
    <col min="2057" max="2057" width="9.77734375" style="3" bestFit="1" customWidth="1"/>
    <col min="2058" max="2058" width="12" style="3" bestFit="1" customWidth="1"/>
    <col min="2059" max="2059" width="11.44140625" style="3"/>
    <col min="2060" max="2060" width="12" style="3" bestFit="1" customWidth="1"/>
    <col min="2061" max="2061" width="10.44140625" style="3" customWidth="1"/>
    <col min="2062" max="2062" width="11.77734375" style="3" bestFit="1" customWidth="1"/>
    <col min="2063" max="2063" width="11.21875" style="3" bestFit="1" customWidth="1"/>
    <col min="2064" max="2066" width="11.44140625" style="3"/>
    <col min="2067" max="2067" width="2.21875" style="3" customWidth="1"/>
    <col min="2068" max="2303" width="11.44140625" style="3"/>
    <col min="2304" max="2304" width="3.21875" style="3" customWidth="1"/>
    <col min="2305" max="2305" width="33.77734375" style="3" customWidth="1"/>
    <col min="2306" max="2306" width="11.44140625" style="3"/>
    <col min="2307" max="2307" width="10.77734375" style="3" bestFit="1" customWidth="1"/>
    <col min="2308" max="2308" width="10.77734375" style="3" customWidth="1"/>
    <col min="2309" max="2309" width="11.21875" style="3" bestFit="1" customWidth="1"/>
    <col min="2310" max="2310" width="11.44140625" style="3"/>
    <col min="2311" max="2311" width="12.44140625" style="3" customWidth="1"/>
    <col min="2312" max="2312" width="11.44140625" style="3"/>
    <col min="2313" max="2313" width="9.77734375" style="3" bestFit="1" customWidth="1"/>
    <col min="2314" max="2314" width="12" style="3" bestFit="1" customWidth="1"/>
    <col min="2315" max="2315" width="11.44140625" style="3"/>
    <col min="2316" max="2316" width="12" style="3" bestFit="1" customWidth="1"/>
    <col min="2317" max="2317" width="10.44140625" style="3" customWidth="1"/>
    <col min="2318" max="2318" width="11.77734375" style="3" bestFit="1" customWidth="1"/>
    <col min="2319" max="2319" width="11.21875" style="3" bestFit="1" customWidth="1"/>
    <col min="2320" max="2322" width="11.44140625" style="3"/>
    <col min="2323" max="2323" width="2.21875" style="3" customWidth="1"/>
    <col min="2324" max="2559" width="11.44140625" style="3"/>
    <col min="2560" max="2560" width="3.21875" style="3" customWidth="1"/>
    <col min="2561" max="2561" width="33.77734375" style="3" customWidth="1"/>
    <col min="2562" max="2562" width="11.44140625" style="3"/>
    <col min="2563" max="2563" width="10.77734375" style="3" bestFit="1" customWidth="1"/>
    <col min="2564" max="2564" width="10.77734375" style="3" customWidth="1"/>
    <col min="2565" max="2565" width="11.21875" style="3" bestFit="1" customWidth="1"/>
    <col min="2566" max="2566" width="11.44140625" style="3"/>
    <col min="2567" max="2567" width="12.44140625" style="3" customWidth="1"/>
    <col min="2568" max="2568" width="11.44140625" style="3"/>
    <col min="2569" max="2569" width="9.77734375" style="3" bestFit="1" customWidth="1"/>
    <col min="2570" max="2570" width="12" style="3" bestFit="1" customWidth="1"/>
    <col min="2571" max="2571" width="11.44140625" style="3"/>
    <col min="2572" max="2572" width="12" style="3" bestFit="1" customWidth="1"/>
    <col min="2573" max="2573" width="10.44140625" style="3" customWidth="1"/>
    <col min="2574" max="2574" width="11.77734375" style="3" bestFit="1" customWidth="1"/>
    <col min="2575" max="2575" width="11.21875" style="3" bestFit="1" customWidth="1"/>
    <col min="2576" max="2578" width="11.44140625" style="3"/>
    <col min="2579" max="2579" width="2.21875" style="3" customWidth="1"/>
    <col min="2580" max="2815" width="11.44140625" style="3"/>
    <col min="2816" max="2816" width="3.21875" style="3" customWidth="1"/>
    <col min="2817" max="2817" width="33.77734375" style="3" customWidth="1"/>
    <col min="2818" max="2818" width="11.44140625" style="3"/>
    <col min="2819" max="2819" width="10.77734375" style="3" bestFit="1" customWidth="1"/>
    <col min="2820" max="2820" width="10.77734375" style="3" customWidth="1"/>
    <col min="2821" max="2821" width="11.21875" style="3" bestFit="1" customWidth="1"/>
    <col min="2822" max="2822" width="11.44140625" style="3"/>
    <col min="2823" max="2823" width="12.44140625" style="3" customWidth="1"/>
    <col min="2824" max="2824" width="11.44140625" style="3"/>
    <col min="2825" max="2825" width="9.77734375" style="3" bestFit="1" customWidth="1"/>
    <col min="2826" max="2826" width="12" style="3" bestFit="1" customWidth="1"/>
    <col min="2827" max="2827" width="11.44140625" style="3"/>
    <col min="2828" max="2828" width="12" style="3" bestFit="1" customWidth="1"/>
    <col min="2829" max="2829" width="10.44140625" style="3" customWidth="1"/>
    <col min="2830" max="2830" width="11.77734375" style="3" bestFit="1" customWidth="1"/>
    <col min="2831" max="2831" width="11.21875" style="3" bestFit="1" customWidth="1"/>
    <col min="2832" max="2834" width="11.44140625" style="3"/>
    <col min="2835" max="2835" width="2.21875" style="3" customWidth="1"/>
    <col min="2836" max="3071" width="11.44140625" style="3"/>
    <col min="3072" max="3072" width="3.21875" style="3" customWidth="1"/>
    <col min="3073" max="3073" width="33.77734375" style="3" customWidth="1"/>
    <col min="3074" max="3074" width="11.44140625" style="3"/>
    <col min="3075" max="3075" width="10.77734375" style="3" bestFit="1" customWidth="1"/>
    <col min="3076" max="3076" width="10.77734375" style="3" customWidth="1"/>
    <col min="3077" max="3077" width="11.21875" style="3" bestFit="1" customWidth="1"/>
    <col min="3078" max="3078" width="11.44140625" style="3"/>
    <col min="3079" max="3079" width="12.44140625" style="3" customWidth="1"/>
    <col min="3080" max="3080" width="11.44140625" style="3"/>
    <col min="3081" max="3081" width="9.77734375" style="3" bestFit="1" customWidth="1"/>
    <col min="3082" max="3082" width="12" style="3" bestFit="1" customWidth="1"/>
    <col min="3083" max="3083" width="11.44140625" style="3"/>
    <col min="3084" max="3084" width="12" style="3" bestFit="1" customWidth="1"/>
    <col min="3085" max="3085" width="10.44140625" style="3" customWidth="1"/>
    <col min="3086" max="3086" width="11.77734375" style="3" bestFit="1" customWidth="1"/>
    <col min="3087" max="3087" width="11.21875" style="3" bestFit="1" customWidth="1"/>
    <col min="3088" max="3090" width="11.44140625" style="3"/>
    <col min="3091" max="3091" width="2.21875" style="3" customWidth="1"/>
    <col min="3092" max="3327" width="11.44140625" style="3"/>
    <col min="3328" max="3328" width="3.21875" style="3" customWidth="1"/>
    <col min="3329" max="3329" width="33.77734375" style="3" customWidth="1"/>
    <col min="3330" max="3330" width="11.44140625" style="3"/>
    <col min="3331" max="3331" width="10.77734375" style="3" bestFit="1" customWidth="1"/>
    <col min="3332" max="3332" width="10.77734375" style="3" customWidth="1"/>
    <col min="3333" max="3333" width="11.21875" style="3" bestFit="1" customWidth="1"/>
    <col min="3334" max="3334" width="11.44140625" style="3"/>
    <col min="3335" max="3335" width="12.44140625" style="3" customWidth="1"/>
    <col min="3336" max="3336" width="11.44140625" style="3"/>
    <col min="3337" max="3337" width="9.77734375" style="3" bestFit="1" customWidth="1"/>
    <col min="3338" max="3338" width="12" style="3" bestFit="1" customWidth="1"/>
    <col min="3339" max="3339" width="11.44140625" style="3"/>
    <col min="3340" max="3340" width="12" style="3" bestFit="1" customWidth="1"/>
    <col min="3341" max="3341" width="10.44140625" style="3" customWidth="1"/>
    <col min="3342" max="3342" width="11.77734375" style="3" bestFit="1" customWidth="1"/>
    <col min="3343" max="3343" width="11.21875" style="3" bestFit="1" customWidth="1"/>
    <col min="3344" max="3346" width="11.44140625" style="3"/>
    <col min="3347" max="3347" width="2.21875" style="3" customWidth="1"/>
    <col min="3348" max="3583" width="11.44140625" style="3"/>
    <col min="3584" max="3584" width="3.21875" style="3" customWidth="1"/>
    <col min="3585" max="3585" width="33.77734375" style="3" customWidth="1"/>
    <col min="3586" max="3586" width="11.44140625" style="3"/>
    <col min="3587" max="3587" width="10.77734375" style="3" bestFit="1" customWidth="1"/>
    <col min="3588" max="3588" width="10.77734375" style="3" customWidth="1"/>
    <col min="3589" max="3589" width="11.21875" style="3" bestFit="1" customWidth="1"/>
    <col min="3590" max="3590" width="11.44140625" style="3"/>
    <col min="3591" max="3591" width="12.44140625" style="3" customWidth="1"/>
    <col min="3592" max="3592" width="11.44140625" style="3"/>
    <col min="3593" max="3593" width="9.77734375" style="3" bestFit="1" customWidth="1"/>
    <col min="3594" max="3594" width="12" style="3" bestFit="1" customWidth="1"/>
    <col min="3595" max="3595" width="11.44140625" style="3"/>
    <col min="3596" max="3596" width="12" style="3" bestFit="1" customWidth="1"/>
    <col min="3597" max="3597" width="10.44140625" style="3" customWidth="1"/>
    <col min="3598" max="3598" width="11.77734375" style="3" bestFit="1" customWidth="1"/>
    <col min="3599" max="3599" width="11.21875" style="3" bestFit="1" customWidth="1"/>
    <col min="3600" max="3602" width="11.44140625" style="3"/>
    <col min="3603" max="3603" width="2.21875" style="3" customWidth="1"/>
    <col min="3604" max="3839" width="11.44140625" style="3"/>
    <col min="3840" max="3840" width="3.21875" style="3" customWidth="1"/>
    <col min="3841" max="3841" width="33.77734375" style="3" customWidth="1"/>
    <col min="3842" max="3842" width="11.44140625" style="3"/>
    <col min="3843" max="3843" width="10.77734375" style="3" bestFit="1" customWidth="1"/>
    <col min="3844" max="3844" width="10.77734375" style="3" customWidth="1"/>
    <col min="3845" max="3845" width="11.21875" style="3" bestFit="1" customWidth="1"/>
    <col min="3846" max="3846" width="11.44140625" style="3"/>
    <col min="3847" max="3847" width="12.44140625" style="3" customWidth="1"/>
    <col min="3848" max="3848" width="11.44140625" style="3"/>
    <col min="3849" max="3849" width="9.77734375" style="3" bestFit="1" customWidth="1"/>
    <col min="3850" max="3850" width="12" style="3" bestFit="1" customWidth="1"/>
    <col min="3851" max="3851" width="11.44140625" style="3"/>
    <col min="3852" max="3852" width="12" style="3" bestFit="1" customWidth="1"/>
    <col min="3853" max="3853" width="10.44140625" style="3" customWidth="1"/>
    <col min="3854" max="3854" width="11.77734375" style="3" bestFit="1" customWidth="1"/>
    <col min="3855" max="3855" width="11.21875" style="3" bestFit="1" customWidth="1"/>
    <col min="3856" max="3858" width="11.44140625" style="3"/>
    <col min="3859" max="3859" width="2.21875" style="3" customWidth="1"/>
    <col min="3860" max="4095" width="11.44140625" style="3"/>
    <col min="4096" max="4096" width="3.21875" style="3" customWidth="1"/>
    <col min="4097" max="4097" width="33.77734375" style="3" customWidth="1"/>
    <col min="4098" max="4098" width="11.44140625" style="3"/>
    <col min="4099" max="4099" width="10.77734375" style="3" bestFit="1" customWidth="1"/>
    <col min="4100" max="4100" width="10.77734375" style="3" customWidth="1"/>
    <col min="4101" max="4101" width="11.21875" style="3" bestFit="1" customWidth="1"/>
    <col min="4102" max="4102" width="11.44140625" style="3"/>
    <col min="4103" max="4103" width="12.44140625" style="3" customWidth="1"/>
    <col min="4104" max="4104" width="11.44140625" style="3"/>
    <col min="4105" max="4105" width="9.77734375" style="3" bestFit="1" customWidth="1"/>
    <col min="4106" max="4106" width="12" style="3" bestFit="1" customWidth="1"/>
    <col min="4107" max="4107" width="11.44140625" style="3"/>
    <col min="4108" max="4108" width="12" style="3" bestFit="1" customWidth="1"/>
    <col min="4109" max="4109" width="10.44140625" style="3" customWidth="1"/>
    <col min="4110" max="4110" width="11.77734375" style="3" bestFit="1" customWidth="1"/>
    <col min="4111" max="4111" width="11.21875" style="3" bestFit="1" customWidth="1"/>
    <col min="4112" max="4114" width="11.44140625" style="3"/>
    <col min="4115" max="4115" width="2.21875" style="3" customWidth="1"/>
    <col min="4116" max="4351" width="11.44140625" style="3"/>
    <col min="4352" max="4352" width="3.21875" style="3" customWidth="1"/>
    <col min="4353" max="4353" width="33.77734375" style="3" customWidth="1"/>
    <col min="4354" max="4354" width="11.44140625" style="3"/>
    <col min="4355" max="4355" width="10.77734375" style="3" bestFit="1" customWidth="1"/>
    <col min="4356" max="4356" width="10.77734375" style="3" customWidth="1"/>
    <col min="4357" max="4357" width="11.21875" style="3" bestFit="1" customWidth="1"/>
    <col min="4358" max="4358" width="11.44140625" style="3"/>
    <col min="4359" max="4359" width="12.44140625" style="3" customWidth="1"/>
    <col min="4360" max="4360" width="11.44140625" style="3"/>
    <col min="4361" max="4361" width="9.77734375" style="3" bestFit="1" customWidth="1"/>
    <col min="4362" max="4362" width="12" style="3" bestFit="1" customWidth="1"/>
    <col min="4363" max="4363" width="11.44140625" style="3"/>
    <col min="4364" max="4364" width="12" style="3" bestFit="1" customWidth="1"/>
    <col min="4365" max="4365" width="10.44140625" style="3" customWidth="1"/>
    <col min="4366" max="4366" width="11.77734375" style="3" bestFit="1" customWidth="1"/>
    <col min="4367" max="4367" width="11.21875" style="3" bestFit="1" customWidth="1"/>
    <col min="4368" max="4370" width="11.44140625" style="3"/>
    <col min="4371" max="4371" width="2.21875" style="3" customWidth="1"/>
    <col min="4372" max="4607" width="11.44140625" style="3"/>
    <col min="4608" max="4608" width="3.21875" style="3" customWidth="1"/>
    <col min="4609" max="4609" width="33.77734375" style="3" customWidth="1"/>
    <col min="4610" max="4610" width="11.44140625" style="3"/>
    <col min="4611" max="4611" width="10.77734375" style="3" bestFit="1" customWidth="1"/>
    <col min="4612" max="4612" width="10.77734375" style="3" customWidth="1"/>
    <col min="4613" max="4613" width="11.21875" style="3" bestFit="1" customWidth="1"/>
    <col min="4614" max="4614" width="11.44140625" style="3"/>
    <col min="4615" max="4615" width="12.44140625" style="3" customWidth="1"/>
    <col min="4616" max="4616" width="11.44140625" style="3"/>
    <col min="4617" max="4617" width="9.77734375" style="3" bestFit="1" customWidth="1"/>
    <col min="4618" max="4618" width="12" style="3" bestFit="1" customWidth="1"/>
    <col min="4619" max="4619" width="11.44140625" style="3"/>
    <col min="4620" max="4620" width="12" style="3" bestFit="1" customWidth="1"/>
    <col min="4621" max="4621" width="10.44140625" style="3" customWidth="1"/>
    <col min="4622" max="4622" width="11.77734375" style="3" bestFit="1" customWidth="1"/>
    <col min="4623" max="4623" width="11.21875" style="3" bestFit="1" customWidth="1"/>
    <col min="4624" max="4626" width="11.44140625" style="3"/>
    <col min="4627" max="4627" width="2.21875" style="3" customWidth="1"/>
    <col min="4628" max="4863" width="11.44140625" style="3"/>
    <col min="4864" max="4864" width="3.21875" style="3" customWidth="1"/>
    <col min="4865" max="4865" width="33.77734375" style="3" customWidth="1"/>
    <col min="4866" max="4866" width="11.44140625" style="3"/>
    <col min="4867" max="4867" width="10.77734375" style="3" bestFit="1" customWidth="1"/>
    <col min="4868" max="4868" width="10.77734375" style="3" customWidth="1"/>
    <col min="4869" max="4869" width="11.21875" style="3" bestFit="1" customWidth="1"/>
    <col min="4870" max="4870" width="11.44140625" style="3"/>
    <col min="4871" max="4871" width="12.44140625" style="3" customWidth="1"/>
    <col min="4872" max="4872" width="11.44140625" style="3"/>
    <col min="4873" max="4873" width="9.77734375" style="3" bestFit="1" customWidth="1"/>
    <col min="4874" max="4874" width="12" style="3" bestFit="1" customWidth="1"/>
    <col min="4875" max="4875" width="11.44140625" style="3"/>
    <col min="4876" max="4876" width="12" style="3" bestFit="1" customWidth="1"/>
    <col min="4877" max="4877" width="10.44140625" style="3" customWidth="1"/>
    <col min="4878" max="4878" width="11.77734375" style="3" bestFit="1" customWidth="1"/>
    <col min="4879" max="4879" width="11.21875" style="3" bestFit="1" customWidth="1"/>
    <col min="4880" max="4882" width="11.44140625" style="3"/>
    <col min="4883" max="4883" width="2.21875" style="3" customWidth="1"/>
    <col min="4884" max="5119" width="11.44140625" style="3"/>
    <col min="5120" max="5120" width="3.21875" style="3" customWidth="1"/>
    <col min="5121" max="5121" width="33.77734375" style="3" customWidth="1"/>
    <col min="5122" max="5122" width="11.44140625" style="3"/>
    <col min="5123" max="5123" width="10.77734375" style="3" bestFit="1" customWidth="1"/>
    <col min="5124" max="5124" width="10.77734375" style="3" customWidth="1"/>
    <col min="5125" max="5125" width="11.21875" style="3" bestFit="1" customWidth="1"/>
    <col min="5126" max="5126" width="11.44140625" style="3"/>
    <col min="5127" max="5127" width="12.44140625" style="3" customWidth="1"/>
    <col min="5128" max="5128" width="11.44140625" style="3"/>
    <col min="5129" max="5129" width="9.77734375" style="3" bestFit="1" customWidth="1"/>
    <col min="5130" max="5130" width="12" style="3" bestFit="1" customWidth="1"/>
    <col min="5131" max="5131" width="11.44140625" style="3"/>
    <col min="5132" max="5132" width="12" style="3" bestFit="1" customWidth="1"/>
    <col min="5133" max="5133" width="10.44140625" style="3" customWidth="1"/>
    <col min="5134" max="5134" width="11.77734375" style="3" bestFit="1" customWidth="1"/>
    <col min="5135" max="5135" width="11.21875" style="3" bestFit="1" customWidth="1"/>
    <col min="5136" max="5138" width="11.44140625" style="3"/>
    <col min="5139" max="5139" width="2.21875" style="3" customWidth="1"/>
    <col min="5140" max="5375" width="11.44140625" style="3"/>
    <col min="5376" max="5376" width="3.21875" style="3" customWidth="1"/>
    <col min="5377" max="5377" width="33.77734375" style="3" customWidth="1"/>
    <col min="5378" max="5378" width="11.44140625" style="3"/>
    <col min="5379" max="5379" width="10.77734375" style="3" bestFit="1" customWidth="1"/>
    <col min="5380" max="5380" width="10.77734375" style="3" customWidth="1"/>
    <col min="5381" max="5381" width="11.21875" style="3" bestFit="1" customWidth="1"/>
    <col min="5382" max="5382" width="11.44140625" style="3"/>
    <col min="5383" max="5383" width="12.44140625" style="3" customWidth="1"/>
    <col min="5384" max="5384" width="11.44140625" style="3"/>
    <col min="5385" max="5385" width="9.77734375" style="3" bestFit="1" customWidth="1"/>
    <col min="5386" max="5386" width="12" style="3" bestFit="1" customWidth="1"/>
    <col min="5387" max="5387" width="11.44140625" style="3"/>
    <col min="5388" max="5388" width="12" style="3" bestFit="1" customWidth="1"/>
    <col min="5389" max="5389" width="10.44140625" style="3" customWidth="1"/>
    <col min="5390" max="5390" width="11.77734375" style="3" bestFit="1" customWidth="1"/>
    <col min="5391" max="5391" width="11.21875" style="3" bestFit="1" customWidth="1"/>
    <col min="5392" max="5394" width="11.44140625" style="3"/>
    <col min="5395" max="5395" width="2.21875" style="3" customWidth="1"/>
    <col min="5396" max="5631" width="11.44140625" style="3"/>
    <col min="5632" max="5632" width="3.21875" style="3" customWidth="1"/>
    <col min="5633" max="5633" width="33.77734375" style="3" customWidth="1"/>
    <col min="5634" max="5634" width="11.44140625" style="3"/>
    <col min="5635" max="5635" width="10.77734375" style="3" bestFit="1" customWidth="1"/>
    <col min="5636" max="5636" width="10.77734375" style="3" customWidth="1"/>
    <col min="5637" max="5637" width="11.21875" style="3" bestFit="1" customWidth="1"/>
    <col min="5638" max="5638" width="11.44140625" style="3"/>
    <col min="5639" max="5639" width="12.44140625" style="3" customWidth="1"/>
    <col min="5640" max="5640" width="11.44140625" style="3"/>
    <col min="5641" max="5641" width="9.77734375" style="3" bestFit="1" customWidth="1"/>
    <col min="5642" max="5642" width="12" style="3" bestFit="1" customWidth="1"/>
    <col min="5643" max="5643" width="11.44140625" style="3"/>
    <col min="5644" max="5644" width="12" style="3" bestFit="1" customWidth="1"/>
    <col min="5645" max="5645" width="10.44140625" style="3" customWidth="1"/>
    <col min="5646" max="5646" width="11.77734375" style="3" bestFit="1" customWidth="1"/>
    <col min="5647" max="5647" width="11.21875" style="3" bestFit="1" customWidth="1"/>
    <col min="5648" max="5650" width="11.44140625" style="3"/>
    <col min="5651" max="5651" width="2.21875" style="3" customWidth="1"/>
    <col min="5652" max="5887" width="11.44140625" style="3"/>
    <col min="5888" max="5888" width="3.21875" style="3" customWidth="1"/>
    <col min="5889" max="5889" width="33.77734375" style="3" customWidth="1"/>
    <col min="5890" max="5890" width="11.44140625" style="3"/>
    <col min="5891" max="5891" width="10.77734375" style="3" bestFit="1" customWidth="1"/>
    <col min="5892" max="5892" width="10.77734375" style="3" customWidth="1"/>
    <col min="5893" max="5893" width="11.21875" style="3" bestFit="1" customWidth="1"/>
    <col min="5894" max="5894" width="11.44140625" style="3"/>
    <col min="5895" max="5895" width="12.44140625" style="3" customWidth="1"/>
    <col min="5896" max="5896" width="11.44140625" style="3"/>
    <col min="5897" max="5897" width="9.77734375" style="3" bestFit="1" customWidth="1"/>
    <col min="5898" max="5898" width="12" style="3" bestFit="1" customWidth="1"/>
    <col min="5899" max="5899" width="11.44140625" style="3"/>
    <col min="5900" max="5900" width="12" style="3" bestFit="1" customWidth="1"/>
    <col min="5901" max="5901" width="10.44140625" style="3" customWidth="1"/>
    <col min="5902" max="5902" width="11.77734375" style="3" bestFit="1" customWidth="1"/>
    <col min="5903" max="5903" width="11.21875" style="3" bestFit="1" customWidth="1"/>
    <col min="5904" max="5906" width="11.44140625" style="3"/>
    <col min="5907" max="5907" width="2.21875" style="3" customWidth="1"/>
    <col min="5908" max="6143" width="11.44140625" style="3"/>
    <col min="6144" max="6144" width="3.21875" style="3" customWidth="1"/>
    <col min="6145" max="6145" width="33.77734375" style="3" customWidth="1"/>
    <col min="6146" max="6146" width="11.44140625" style="3"/>
    <col min="6147" max="6147" width="10.77734375" style="3" bestFit="1" customWidth="1"/>
    <col min="6148" max="6148" width="10.77734375" style="3" customWidth="1"/>
    <col min="6149" max="6149" width="11.21875" style="3" bestFit="1" customWidth="1"/>
    <col min="6150" max="6150" width="11.44140625" style="3"/>
    <col min="6151" max="6151" width="12.44140625" style="3" customWidth="1"/>
    <col min="6152" max="6152" width="11.44140625" style="3"/>
    <col min="6153" max="6153" width="9.77734375" style="3" bestFit="1" customWidth="1"/>
    <col min="6154" max="6154" width="12" style="3" bestFit="1" customWidth="1"/>
    <col min="6155" max="6155" width="11.44140625" style="3"/>
    <col min="6156" max="6156" width="12" style="3" bestFit="1" customWidth="1"/>
    <col min="6157" max="6157" width="10.44140625" style="3" customWidth="1"/>
    <col min="6158" max="6158" width="11.77734375" style="3" bestFit="1" customWidth="1"/>
    <col min="6159" max="6159" width="11.21875" style="3" bestFit="1" customWidth="1"/>
    <col min="6160" max="6162" width="11.44140625" style="3"/>
    <col min="6163" max="6163" width="2.21875" style="3" customWidth="1"/>
    <col min="6164" max="6399" width="11.44140625" style="3"/>
    <col min="6400" max="6400" width="3.21875" style="3" customWidth="1"/>
    <col min="6401" max="6401" width="33.77734375" style="3" customWidth="1"/>
    <col min="6402" max="6402" width="11.44140625" style="3"/>
    <col min="6403" max="6403" width="10.77734375" style="3" bestFit="1" customWidth="1"/>
    <col min="6404" max="6404" width="10.77734375" style="3" customWidth="1"/>
    <col min="6405" max="6405" width="11.21875" style="3" bestFit="1" customWidth="1"/>
    <col min="6406" max="6406" width="11.44140625" style="3"/>
    <col min="6407" max="6407" width="12.44140625" style="3" customWidth="1"/>
    <col min="6408" max="6408" width="11.44140625" style="3"/>
    <col min="6409" max="6409" width="9.77734375" style="3" bestFit="1" customWidth="1"/>
    <col min="6410" max="6410" width="12" style="3" bestFit="1" customWidth="1"/>
    <col min="6411" max="6411" width="11.44140625" style="3"/>
    <col min="6412" max="6412" width="12" style="3" bestFit="1" customWidth="1"/>
    <col min="6413" max="6413" width="10.44140625" style="3" customWidth="1"/>
    <col min="6414" max="6414" width="11.77734375" style="3" bestFit="1" customWidth="1"/>
    <col min="6415" max="6415" width="11.21875" style="3" bestFit="1" customWidth="1"/>
    <col min="6416" max="6418" width="11.44140625" style="3"/>
    <col min="6419" max="6419" width="2.21875" style="3" customWidth="1"/>
    <col min="6420" max="6655" width="11.44140625" style="3"/>
    <col min="6656" max="6656" width="3.21875" style="3" customWidth="1"/>
    <col min="6657" max="6657" width="33.77734375" style="3" customWidth="1"/>
    <col min="6658" max="6658" width="11.44140625" style="3"/>
    <col min="6659" max="6659" width="10.77734375" style="3" bestFit="1" customWidth="1"/>
    <col min="6660" max="6660" width="10.77734375" style="3" customWidth="1"/>
    <col min="6661" max="6661" width="11.21875" style="3" bestFit="1" customWidth="1"/>
    <col min="6662" max="6662" width="11.44140625" style="3"/>
    <col min="6663" max="6663" width="12.44140625" style="3" customWidth="1"/>
    <col min="6664" max="6664" width="11.44140625" style="3"/>
    <col min="6665" max="6665" width="9.77734375" style="3" bestFit="1" customWidth="1"/>
    <col min="6666" max="6666" width="12" style="3" bestFit="1" customWidth="1"/>
    <col min="6667" max="6667" width="11.44140625" style="3"/>
    <col min="6668" max="6668" width="12" style="3" bestFit="1" customWidth="1"/>
    <col min="6669" max="6669" width="10.44140625" style="3" customWidth="1"/>
    <col min="6670" max="6670" width="11.77734375" style="3" bestFit="1" customWidth="1"/>
    <col min="6671" max="6671" width="11.21875" style="3" bestFit="1" customWidth="1"/>
    <col min="6672" max="6674" width="11.44140625" style="3"/>
    <col min="6675" max="6675" width="2.21875" style="3" customWidth="1"/>
    <col min="6676" max="6911" width="11.44140625" style="3"/>
    <col min="6912" max="6912" width="3.21875" style="3" customWidth="1"/>
    <col min="6913" max="6913" width="33.77734375" style="3" customWidth="1"/>
    <col min="6914" max="6914" width="11.44140625" style="3"/>
    <col min="6915" max="6915" width="10.77734375" style="3" bestFit="1" customWidth="1"/>
    <col min="6916" max="6916" width="10.77734375" style="3" customWidth="1"/>
    <col min="6917" max="6917" width="11.21875" style="3" bestFit="1" customWidth="1"/>
    <col min="6918" max="6918" width="11.44140625" style="3"/>
    <col min="6919" max="6919" width="12.44140625" style="3" customWidth="1"/>
    <col min="6920" max="6920" width="11.44140625" style="3"/>
    <col min="6921" max="6921" width="9.77734375" style="3" bestFit="1" customWidth="1"/>
    <col min="6922" max="6922" width="12" style="3" bestFit="1" customWidth="1"/>
    <col min="6923" max="6923" width="11.44140625" style="3"/>
    <col min="6924" max="6924" width="12" style="3" bestFit="1" customWidth="1"/>
    <col min="6925" max="6925" width="10.44140625" style="3" customWidth="1"/>
    <col min="6926" max="6926" width="11.77734375" style="3" bestFit="1" customWidth="1"/>
    <col min="6927" max="6927" width="11.21875" style="3" bestFit="1" customWidth="1"/>
    <col min="6928" max="6930" width="11.44140625" style="3"/>
    <col min="6931" max="6931" width="2.21875" style="3" customWidth="1"/>
    <col min="6932" max="7167" width="11.44140625" style="3"/>
    <col min="7168" max="7168" width="3.21875" style="3" customWidth="1"/>
    <col min="7169" max="7169" width="33.77734375" style="3" customWidth="1"/>
    <col min="7170" max="7170" width="11.44140625" style="3"/>
    <col min="7171" max="7171" width="10.77734375" style="3" bestFit="1" customWidth="1"/>
    <col min="7172" max="7172" width="10.77734375" style="3" customWidth="1"/>
    <col min="7173" max="7173" width="11.21875" style="3" bestFit="1" customWidth="1"/>
    <col min="7174" max="7174" width="11.44140625" style="3"/>
    <col min="7175" max="7175" width="12.44140625" style="3" customWidth="1"/>
    <col min="7176" max="7176" width="11.44140625" style="3"/>
    <col min="7177" max="7177" width="9.77734375" style="3" bestFit="1" customWidth="1"/>
    <col min="7178" max="7178" width="12" style="3" bestFit="1" customWidth="1"/>
    <col min="7179" max="7179" width="11.44140625" style="3"/>
    <col min="7180" max="7180" width="12" style="3" bestFit="1" customWidth="1"/>
    <col min="7181" max="7181" width="10.44140625" style="3" customWidth="1"/>
    <col min="7182" max="7182" width="11.77734375" style="3" bestFit="1" customWidth="1"/>
    <col min="7183" max="7183" width="11.21875" style="3" bestFit="1" customWidth="1"/>
    <col min="7184" max="7186" width="11.44140625" style="3"/>
    <col min="7187" max="7187" width="2.21875" style="3" customWidth="1"/>
    <col min="7188" max="7423" width="11.44140625" style="3"/>
    <col min="7424" max="7424" width="3.21875" style="3" customWidth="1"/>
    <col min="7425" max="7425" width="33.77734375" style="3" customWidth="1"/>
    <col min="7426" max="7426" width="11.44140625" style="3"/>
    <col min="7427" max="7427" width="10.77734375" style="3" bestFit="1" customWidth="1"/>
    <col min="7428" max="7428" width="10.77734375" style="3" customWidth="1"/>
    <col min="7429" max="7429" width="11.21875" style="3" bestFit="1" customWidth="1"/>
    <col min="7430" max="7430" width="11.44140625" style="3"/>
    <col min="7431" max="7431" width="12.44140625" style="3" customWidth="1"/>
    <col min="7432" max="7432" width="11.44140625" style="3"/>
    <col min="7433" max="7433" width="9.77734375" style="3" bestFit="1" customWidth="1"/>
    <col min="7434" max="7434" width="12" style="3" bestFit="1" customWidth="1"/>
    <col min="7435" max="7435" width="11.44140625" style="3"/>
    <col min="7436" max="7436" width="12" style="3" bestFit="1" customWidth="1"/>
    <col min="7437" max="7437" width="10.44140625" style="3" customWidth="1"/>
    <col min="7438" max="7438" width="11.77734375" style="3" bestFit="1" customWidth="1"/>
    <col min="7439" max="7439" width="11.21875" style="3" bestFit="1" customWidth="1"/>
    <col min="7440" max="7442" width="11.44140625" style="3"/>
    <col min="7443" max="7443" width="2.21875" style="3" customWidth="1"/>
    <col min="7444" max="7679" width="11.44140625" style="3"/>
    <col min="7680" max="7680" width="3.21875" style="3" customWidth="1"/>
    <col min="7681" max="7681" width="33.77734375" style="3" customWidth="1"/>
    <col min="7682" max="7682" width="11.44140625" style="3"/>
    <col min="7683" max="7683" width="10.77734375" style="3" bestFit="1" customWidth="1"/>
    <col min="7684" max="7684" width="10.77734375" style="3" customWidth="1"/>
    <col min="7685" max="7685" width="11.21875" style="3" bestFit="1" customWidth="1"/>
    <col min="7686" max="7686" width="11.44140625" style="3"/>
    <col min="7687" max="7687" width="12.44140625" style="3" customWidth="1"/>
    <col min="7688" max="7688" width="11.44140625" style="3"/>
    <col min="7689" max="7689" width="9.77734375" style="3" bestFit="1" customWidth="1"/>
    <col min="7690" max="7690" width="12" style="3" bestFit="1" customWidth="1"/>
    <col min="7691" max="7691" width="11.44140625" style="3"/>
    <col min="7692" max="7692" width="12" style="3" bestFit="1" customWidth="1"/>
    <col min="7693" max="7693" width="10.44140625" style="3" customWidth="1"/>
    <col min="7694" max="7694" width="11.77734375" style="3" bestFit="1" customWidth="1"/>
    <col min="7695" max="7695" width="11.21875" style="3" bestFit="1" customWidth="1"/>
    <col min="7696" max="7698" width="11.44140625" style="3"/>
    <col min="7699" max="7699" width="2.21875" style="3" customWidth="1"/>
    <col min="7700" max="7935" width="11.44140625" style="3"/>
    <col min="7936" max="7936" width="3.21875" style="3" customWidth="1"/>
    <col min="7937" max="7937" width="33.77734375" style="3" customWidth="1"/>
    <col min="7938" max="7938" width="11.44140625" style="3"/>
    <col min="7939" max="7939" width="10.77734375" style="3" bestFit="1" customWidth="1"/>
    <col min="7940" max="7940" width="10.77734375" style="3" customWidth="1"/>
    <col min="7941" max="7941" width="11.21875" style="3" bestFit="1" customWidth="1"/>
    <col min="7942" max="7942" width="11.44140625" style="3"/>
    <col min="7943" max="7943" width="12.44140625" style="3" customWidth="1"/>
    <col min="7944" max="7944" width="11.44140625" style="3"/>
    <col min="7945" max="7945" width="9.77734375" style="3" bestFit="1" customWidth="1"/>
    <col min="7946" max="7946" width="12" style="3" bestFit="1" customWidth="1"/>
    <col min="7947" max="7947" width="11.44140625" style="3"/>
    <col min="7948" max="7948" width="12" style="3" bestFit="1" customWidth="1"/>
    <col min="7949" max="7949" width="10.44140625" style="3" customWidth="1"/>
    <col min="7950" max="7950" width="11.77734375" style="3" bestFit="1" customWidth="1"/>
    <col min="7951" max="7951" width="11.21875" style="3" bestFit="1" customWidth="1"/>
    <col min="7952" max="7954" width="11.44140625" style="3"/>
    <col min="7955" max="7955" width="2.21875" style="3" customWidth="1"/>
    <col min="7956" max="8191" width="11.44140625" style="3"/>
    <col min="8192" max="8192" width="3.21875" style="3" customWidth="1"/>
    <col min="8193" max="8193" width="33.77734375" style="3" customWidth="1"/>
    <col min="8194" max="8194" width="11.44140625" style="3"/>
    <col min="8195" max="8195" width="10.77734375" style="3" bestFit="1" customWidth="1"/>
    <col min="8196" max="8196" width="10.77734375" style="3" customWidth="1"/>
    <col min="8197" max="8197" width="11.21875" style="3" bestFit="1" customWidth="1"/>
    <col min="8198" max="8198" width="11.44140625" style="3"/>
    <col min="8199" max="8199" width="12.44140625" style="3" customWidth="1"/>
    <col min="8200" max="8200" width="11.44140625" style="3"/>
    <col min="8201" max="8201" width="9.77734375" style="3" bestFit="1" customWidth="1"/>
    <col min="8202" max="8202" width="12" style="3" bestFit="1" customWidth="1"/>
    <col min="8203" max="8203" width="11.44140625" style="3"/>
    <col min="8204" max="8204" width="12" style="3" bestFit="1" customWidth="1"/>
    <col min="8205" max="8205" width="10.44140625" style="3" customWidth="1"/>
    <col min="8206" max="8206" width="11.77734375" style="3" bestFit="1" customWidth="1"/>
    <col min="8207" max="8207" width="11.21875" style="3" bestFit="1" customWidth="1"/>
    <col min="8208" max="8210" width="11.44140625" style="3"/>
    <col min="8211" max="8211" width="2.21875" style="3" customWidth="1"/>
    <col min="8212" max="8447" width="11.44140625" style="3"/>
    <col min="8448" max="8448" width="3.21875" style="3" customWidth="1"/>
    <col min="8449" max="8449" width="33.77734375" style="3" customWidth="1"/>
    <col min="8450" max="8450" width="11.44140625" style="3"/>
    <col min="8451" max="8451" width="10.77734375" style="3" bestFit="1" customWidth="1"/>
    <col min="8452" max="8452" width="10.77734375" style="3" customWidth="1"/>
    <col min="8453" max="8453" width="11.21875" style="3" bestFit="1" customWidth="1"/>
    <col min="8454" max="8454" width="11.44140625" style="3"/>
    <col min="8455" max="8455" width="12.44140625" style="3" customWidth="1"/>
    <col min="8456" max="8456" width="11.44140625" style="3"/>
    <col min="8457" max="8457" width="9.77734375" style="3" bestFit="1" customWidth="1"/>
    <col min="8458" max="8458" width="12" style="3" bestFit="1" customWidth="1"/>
    <col min="8459" max="8459" width="11.44140625" style="3"/>
    <col min="8460" max="8460" width="12" style="3" bestFit="1" customWidth="1"/>
    <col min="8461" max="8461" width="10.44140625" style="3" customWidth="1"/>
    <col min="8462" max="8462" width="11.77734375" style="3" bestFit="1" customWidth="1"/>
    <col min="8463" max="8463" width="11.21875" style="3" bestFit="1" customWidth="1"/>
    <col min="8464" max="8466" width="11.44140625" style="3"/>
    <col min="8467" max="8467" width="2.21875" style="3" customWidth="1"/>
    <col min="8468" max="8703" width="11.44140625" style="3"/>
    <col min="8704" max="8704" width="3.21875" style="3" customWidth="1"/>
    <col min="8705" max="8705" width="33.77734375" style="3" customWidth="1"/>
    <col min="8706" max="8706" width="11.44140625" style="3"/>
    <col min="8707" max="8707" width="10.77734375" style="3" bestFit="1" customWidth="1"/>
    <col min="8708" max="8708" width="10.77734375" style="3" customWidth="1"/>
    <col min="8709" max="8709" width="11.21875" style="3" bestFit="1" customWidth="1"/>
    <col min="8710" max="8710" width="11.44140625" style="3"/>
    <col min="8711" max="8711" width="12.44140625" style="3" customWidth="1"/>
    <col min="8712" max="8712" width="11.44140625" style="3"/>
    <col min="8713" max="8713" width="9.77734375" style="3" bestFit="1" customWidth="1"/>
    <col min="8714" max="8714" width="12" style="3" bestFit="1" customWidth="1"/>
    <col min="8715" max="8715" width="11.44140625" style="3"/>
    <col min="8716" max="8716" width="12" style="3" bestFit="1" customWidth="1"/>
    <col min="8717" max="8717" width="10.44140625" style="3" customWidth="1"/>
    <col min="8718" max="8718" width="11.77734375" style="3" bestFit="1" customWidth="1"/>
    <col min="8719" max="8719" width="11.21875" style="3" bestFit="1" customWidth="1"/>
    <col min="8720" max="8722" width="11.44140625" style="3"/>
    <col min="8723" max="8723" width="2.21875" style="3" customWidth="1"/>
    <col min="8724" max="8959" width="11.44140625" style="3"/>
    <col min="8960" max="8960" width="3.21875" style="3" customWidth="1"/>
    <col min="8961" max="8961" width="33.77734375" style="3" customWidth="1"/>
    <col min="8962" max="8962" width="11.44140625" style="3"/>
    <col min="8963" max="8963" width="10.77734375" style="3" bestFit="1" customWidth="1"/>
    <col min="8964" max="8964" width="10.77734375" style="3" customWidth="1"/>
    <col min="8965" max="8965" width="11.21875" style="3" bestFit="1" customWidth="1"/>
    <col min="8966" max="8966" width="11.44140625" style="3"/>
    <col min="8967" max="8967" width="12.44140625" style="3" customWidth="1"/>
    <col min="8968" max="8968" width="11.44140625" style="3"/>
    <col min="8969" max="8969" width="9.77734375" style="3" bestFit="1" customWidth="1"/>
    <col min="8970" max="8970" width="12" style="3" bestFit="1" customWidth="1"/>
    <col min="8971" max="8971" width="11.44140625" style="3"/>
    <col min="8972" max="8972" width="12" style="3" bestFit="1" customWidth="1"/>
    <col min="8973" max="8973" width="10.44140625" style="3" customWidth="1"/>
    <col min="8974" max="8974" width="11.77734375" style="3" bestFit="1" customWidth="1"/>
    <col min="8975" max="8975" width="11.21875" style="3" bestFit="1" customWidth="1"/>
    <col min="8976" max="8978" width="11.44140625" style="3"/>
    <col min="8979" max="8979" width="2.21875" style="3" customWidth="1"/>
    <col min="8980" max="9215" width="11.44140625" style="3"/>
    <col min="9216" max="9216" width="3.21875" style="3" customWidth="1"/>
    <col min="9217" max="9217" width="33.77734375" style="3" customWidth="1"/>
    <col min="9218" max="9218" width="11.44140625" style="3"/>
    <col min="9219" max="9219" width="10.77734375" style="3" bestFit="1" customWidth="1"/>
    <col min="9220" max="9220" width="10.77734375" style="3" customWidth="1"/>
    <col min="9221" max="9221" width="11.21875" style="3" bestFit="1" customWidth="1"/>
    <col min="9222" max="9222" width="11.44140625" style="3"/>
    <col min="9223" max="9223" width="12.44140625" style="3" customWidth="1"/>
    <col min="9224" max="9224" width="11.44140625" style="3"/>
    <col min="9225" max="9225" width="9.77734375" style="3" bestFit="1" customWidth="1"/>
    <col min="9226" max="9226" width="12" style="3" bestFit="1" customWidth="1"/>
    <col min="9227" max="9227" width="11.44140625" style="3"/>
    <col min="9228" max="9228" width="12" style="3" bestFit="1" customWidth="1"/>
    <col min="9229" max="9229" width="10.44140625" style="3" customWidth="1"/>
    <col min="9230" max="9230" width="11.77734375" style="3" bestFit="1" customWidth="1"/>
    <col min="9231" max="9231" width="11.21875" style="3" bestFit="1" customWidth="1"/>
    <col min="9232" max="9234" width="11.44140625" style="3"/>
    <col min="9235" max="9235" width="2.21875" style="3" customWidth="1"/>
    <col min="9236" max="9471" width="11.44140625" style="3"/>
    <col min="9472" max="9472" width="3.21875" style="3" customWidth="1"/>
    <col min="9473" max="9473" width="33.77734375" style="3" customWidth="1"/>
    <col min="9474" max="9474" width="11.44140625" style="3"/>
    <col min="9475" max="9475" width="10.77734375" style="3" bestFit="1" customWidth="1"/>
    <col min="9476" max="9476" width="10.77734375" style="3" customWidth="1"/>
    <col min="9477" max="9477" width="11.21875" style="3" bestFit="1" customWidth="1"/>
    <col min="9478" max="9478" width="11.44140625" style="3"/>
    <col min="9479" max="9479" width="12.44140625" style="3" customWidth="1"/>
    <col min="9480" max="9480" width="11.44140625" style="3"/>
    <col min="9481" max="9481" width="9.77734375" style="3" bestFit="1" customWidth="1"/>
    <col min="9482" max="9482" width="12" style="3" bestFit="1" customWidth="1"/>
    <col min="9483" max="9483" width="11.44140625" style="3"/>
    <col min="9484" max="9484" width="12" style="3" bestFit="1" customWidth="1"/>
    <col min="9485" max="9485" width="10.44140625" style="3" customWidth="1"/>
    <col min="9486" max="9486" width="11.77734375" style="3" bestFit="1" customWidth="1"/>
    <col min="9487" max="9487" width="11.21875" style="3" bestFit="1" customWidth="1"/>
    <col min="9488" max="9490" width="11.44140625" style="3"/>
    <col min="9491" max="9491" width="2.21875" style="3" customWidth="1"/>
    <col min="9492" max="9727" width="11.44140625" style="3"/>
    <col min="9728" max="9728" width="3.21875" style="3" customWidth="1"/>
    <col min="9729" max="9729" width="33.77734375" style="3" customWidth="1"/>
    <col min="9730" max="9730" width="11.44140625" style="3"/>
    <col min="9731" max="9731" width="10.77734375" style="3" bestFit="1" customWidth="1"/>
    <col min="9732" max="9732" width="10.77734375" style="3" customWidth="1"/>
    <col min="9733" max="9733" width="11.21875" style="3" bestFit="1" customWidth="1"/>
    <col min="9734" max="9734" width="11.44140625" style="3"/>
    <col min="9735" max="9735" width="12.44140625" style="3" customWidth="1"/>
    <col min="9736" max="9736" width="11.44140625" style="3"/>
    <col min="9737" max="9737" width="9.77734375" style="3" bestFit="1" customWidth="1"/>
    <col min="9738" max="9738" width="12" style="3" bestFit="1" customWidth="1"/>
    <col min="9739" max="9739" width="11.44140625" style="3"/>
    <col min="9740" max="9740" width="12" style="3" bestFit="1" customWidth="1"/>
    <col min="9741" max="9741" width="10.44140625" style="3" customWidth="1"/>
    <col min="9742" max="9742" width="11.77734375" style="3" bestFit="1" customWidth="1"/>
    <col min="9743" max="9743" width="11.21875" style="3" bestFit="1" customWidth="1"/>
    <col min="9744" max="9746" width="11.44140625" style="3"/>
    <col min="9747" max="9747" width="2.21875" style="3" customWidth="1"/>
    <col min="9748" max="9983" width="11.44140625" style="3"/>
    <col min="9984" max="9984" width="3.21875" style="3" customWidth="1"/>
    <col min="9985" max="9985" width="33.77734375" style="3" customWidth="1"/>
    <col min="9986" max="9986" width="11.44140625" style="3"/>
    <col min="9987" max="9987" width="10.77734375" style="3" bestFit="1" customWidth="1"/>
    <col min="9988" max="9988" width="10.77734375" style="3" customWidth="1"/>
    <col min="9989" max="9989" width="11.21875" style="3" bestFit="1" customWidth="1"/>
    <col min="9990" max="9990" width="11.44140625" style="3"/>
    <col min="9991" max="9991" width="12.44140625" style="3" customWidth="1"/>
    <col min="9992" max="9992" width="11.44140625" style="3"/>
    <col min="9993" max="9993" width="9.77734375" style="3" bestFit="1" customWidth="1"/>
    <col min="9994" max="9994" width="12" style="3" bestFit="1" customWidth="1"/>
    <col min="9995" max="9995" width="11.44140625" style="3"/>
    <col min="9996" max="9996" width="12" style="3" bestFit="1" customWidth="1"/>
    <col min="9997" max="9997" width="10.44140625" style="3" customWidth="1"/>
    <col min="9998" max="9998" width="11.77734375" style="3" bestFit="1" customWidth="1"/>
    <col min="9999" max="9999" width="11.21875" style="3" bestFit="1" customWidth="1"/>
    <col min="10000" max="10002" width="11.44140625" style="3"/>
    <col min="10003" max="10003" width="2.21875" style="3" customWidth="1"/>
    <col min="10004" max="10239" width="11.44140625" style="3"/>
    <col min="10240" max="10240" width="3.21875" style="3" customWidth="1"/>
    <col min="10241" max="10241" width="33.77734375" style="3" customWidth="1"/>
    <col min="10242" max="10242" width="11.44140625" style="3"/>
    <col min="10243" max="10243" width="10.77734375" style="3" bestFit="1" customWidth="1"/>
    <col min="10244" max="10244" width="10.77734375" style="3" customWidth="1"/>
    <col min="10245" max="10245" width="11.21875" style="3" bestFit="1" customWidth="1"/>
    <col min="10246" max="10246" width="11.44140625" style="3"/>
    <col min="10247" max="10247" width="12.44140625" style="3" customWidth="1"/>
    <col min="10248" max="10248" width="11.44140625" style="3"/>
    <col min="10249" max="10249" width="9.77734375" style="3" bestFit="1" customWidth="1"/>
    <col min="10250" max="10250" width="12" style="3" bestFit="1" customWidth="1"/>
    <col min="10251" max="10251" width="11.44140625" style="3"/>
    <col min="10252" max="10252" width="12" style="3" bestFit="1" customWidth="1"/>
    <col min="10253" max="10253" width="10.44140625" style="3" customWidth="1"/>
    <col min="10254" max="10254" width="11.77734375" style="3" bestFit="1" customWidth="1"/>
    <col min="10255" max="10255" width="11.21875" style="3" bestFit="1" customWidth="1"/>
    <col min="10256" max="10258" width="11.44140625" style="3"/>
    <col min="10259" max="10259" width="2.21875" style="3" customWidth="1"/>
    <col min="10260" max="10495" width="11.44140625" style="3"/>
    <col min="10496" max="10496" width="3.21875" style="3" customWidth="1"/>
    <col min="10497" max="10497" width="33.77734375" style="3" customWidth="1"/>
    <col min="10498" max="10498" width="11.44140625" style="3"/>
    <col min="10499" max="10499" width="10.77734375" style="3" bestFit="1" customWidth="1"/>
    <col min="10500" max="10500" width="10.77734375" style="3" customWidth="1"/>
    <col min="10501" max="10501" width="11.21875" style="3" bestFit="1" customWidth="1"/>
    <col min="10502" max="10502" width="11.44140625" style="3"/>
    <col min="10503" max="10503" width="12.44140625" style="3" customWidth="1"/>
    <col min="10504" max="10504" width="11.44140625" style="3"/>
    <col min="10505" max="10505" width="9.77734375" style="3" bestFit="1" customWidth="1"/>
    <col min="10506" max="10506" width="12" style="3" bestFit="1" customWidth="1"/>
    <col min="10507" max="10507" width="11.44140625" style="3"/>
    <col min="10508" max="10508" width="12" style="3" bestFit="1" customWidth="1"/>
    <col min="10509" max="10509" width="10.44140625" style="3" customWidth="1"/>
    <col min="10510" max="10510" width="11.77734375" style="3" bestFit="1" customWidth="1"/>
    <col min="10511" max="10511" width="11.21875" style="3" bestFit="1" customWidth="1"/>
    <col min="10512" max="10514" width="11.44140625" style="3"/>
    <col min="10515" max="10515" width="2.21875" style="3" customWidth="1"/>
    <col min="10516" max="10751" width="11.44140625" style="3"/>
    <col min="10752" max="10752" width="3.21875" style="3" customWidth="1"/>
    <col min="10753" max="10753" width="33.77734375" style="3" customWidth="1"/>
    <col min="10754" max="10754" width="11.44140625" style="3"/>
    <col min="10755" max="10755" width="10.77734375" style="3" bestFit="1" customWidth="1"/>
    <col min="10756" max="10756" width="10.77734375" style="3" customWidth="1"/>
    <col min="10757" max="10757" width="11.21875" style="3" bestFit="1" customWidth="1"/>
    <col min="10758" max="10758" width="11.44140625" style="3"/>
    <col min="10759" max="10759" width="12.44140625" style="3" customWidth="1"/>
    <col min="10760" max="10760" width="11.44140625" style="3"/>
    <col min="10761" max="10761" width="9.77734375" style="3" bestFit="1" customWidth="1"/>
    <col min="10762" max="10762" width="12" style="3" bestFit="1" customWidth="1"/>
    <col min="10763" max="10763" width="11.44140625" style="3"/>
    <col min="10764" max="10764" width="12" style="3" bestFit="1" customWidth="1"/>
    <col min="10765" max="10765" width="10.44140625" style="3" customWidth="1"/>
    <col min="10766" max="10766" width="11.77734375" style="3" bestFit="1" customWidth="1"/>
    <col min="10767" max="10767" width="11.21875" style="3" bestFit="1" customWidth="1"/>
    <col min="10768" max="10770" width="11.44140625" style="3"/>
    <col min="10771" max="10771" width="2.21875" style="3" customWidth="1"/>
    <col min="10772" max="11007" width="11.44140625" style="3"/>
    <col min="11008" max="11008" width="3.21875" style="3" customWidth="1"/>
    <col min="11009" max="11009" width="33.77734375" style="3" customWidth="1"/>
    <col min="11010" max="11010" width="11.44140625" style="3"/>
    <col min="11011" max="11011" width="10.77734375" style="3" bestFit="1" customWidth="1"/>
    <col min="11012" max="11012" width="10.77734375" style="3" customWidth="1"/>
    <col min="11013" max="11013" width="11.21875" style="3" bestFit="1" customWidth="1"/>
    <col min="11014" max="11014" width="11.44140625" style="3"/>
    <col min="11015" max="11015" width="12.44140625" style="3" customWidth="1"/>
    <col min="11016" max="11016" width="11.44140625" style="3"/>
    <col min="11017" max="11017" width="9.77734375" style="3" bestFit="1" customWidth="1"/>
    <col min="11018" max="11018" width="12" style="3" bestFit="1" customWidth="1"/>
    <col min="11019" max="11019" width="11.44140625" style="3"/>
    <col min="11020" max="11020" width="12" style="3" bestFit="1" customWidth="1"/>
    <col min="11021" max="11021" width="10.44140625" style="3" customWidth="1"/>
    <col min="11022" max="11022" width="11.77734375" style="3" bestFit="1" customWidth="1"/>
    <col min="11023" max="11023" width="11.21875" style="3" bestFit="1" customWidth="1"/>
    <col min="11024" max="11026" width="11.44140625" style="3"/>
    <col min="11027" max="11027" width="2.21875" style="3" customWidth="1"/>
    <col min="11028" max="11263" width="11.44140625" style="3"/>
    <col min="11264" max="11264" width="3.21875" style="3" customWidth="1"/>
    <col min="11265" max="11265" width="33.77734375" style="3" customWidth="1"/>
    <col min="11266" max="11266" width="11.44140625" style="3"/>
    <col min="11267" max="11267" width="10.77734375" style="3" bestFit="1" customWidth="1"/>
    <col min="11268" max="11268" width="10.77734375" style="3" customWidth="1"/>
    <col min="11269" max="11269" width="11.21875" style="3" bestFit="1" customWidth="1"/>
    <col min="11270" max="11270" width="11.44140625" style="3"/>
    <col min="11271" max="11271" width="12.44140625" style="3" customWidth="1"/>
    <col min="11272" max="11272" width="11.44140625" style="3"/>
    <col min="11273" max="11273" width="9.77734375" style="3" bestFit="1" customWidth="1"/>
    <col min="11274" max="11274" width="12" style="3" bestFit="1" customWidth="1"/>
    <col min="11275" max="11275" width="11.44140625" style="3"/>
    <col min="11276" max="11276" width="12" style="3" bestFit="1" customWidth="1"/>
    <col min="11277" max="11277" width="10.44140625" style="3" customWidth="1"/>
    <col min="11278" max="11278" width="11.77734375" style="3" bestFit="1" customWidth="1"/>
    <col min="11279" max="11279" width="11.21875" style="3" bestFit="1" customWidth="1"/>
    <col min="11280" max="11282" width="11.44140625" style="3"/>
    <col min="11283" max="11283" width="2.21875" style="3" customWidth="1"/>
    <col min="11284" max="11519" width="11.44140625" style="3"/>
    <col min="11520" max="11520" width="3.21875" style="3" customWidth="1"/>
    <col min="11521" max="11521" width="33.77734375" style="3" customWidth="1"/>
    <col min="11522" max="11522" width="11.44140625" style="3"/>
    <col min="11523" max="11523" width="10.77734375" style="3" bestFit="1" customWidth="1"/>
    <col min="11524" max="11524" width="10.77734375" style="3" customWidth="1"/>
    <col min="11525" max="11525" width="11.21875" style="3" bestFit="1" customWidth="1"/>
    <col min="11526" max="11526" width="11.44140625" style="3"/>
    <col min="11527" max="11527" width="12.44140625" style="3" customWidth="1"/>
    <col min="11528" max="11528" width="11.44140625" style="3"/>
    <col min="11529" max="11529" width="9.77734375" style="3" bestFit="1" customWidth="1"/>
    <col min="11530" max="11530" width="12" style="3" bestFit="1" customWidth="1"/>
    <col min="11531" max="11531" width="11.44140625" style="3"/>
    <col min="11532" max="11532" width="12" style="3" bestFit="1" customWidth="1"/>
    <col min="11533" max="11533" width="10.44140625" style="3" customWidth="1"/>
    <col min="11534" max="11534" width="11.77734375" style="3" bestFit="1" customWidth="1"/>
    <col min="11535" max="11535" width="11.21875" style="3" bestFit="1" customWidth="1"/>
    <col min="11536" max="11538" width="11.44140625" style="3"/>
    <col min="11539" max="11539" width="2.21875" style="3" customWidth="1"/>
    <col min="11540" max="11775" width="11.44140625" style="3"/>
    <col min="11776" max="11776" width="3.21875" style="3" customWidth="1"/>
    <col min="11777" max="11777" width="33.77734375" style="3" customWidth="1"/>
    <col min="11778" max="11778" width="11.44140625" style="3"/>
    <col min="11779" max="11779" width="10.77734375" style="3" bestFit="1" customWidth="1"/>
    <col min="11780" max="11780" width="10.77734375" style="3" customWidth="1"/>
    <col min="11781" max="11781" width="11.21875" style="3" bestFit="1" customWidth="1"/>
    <col min="11782" max="11782" width="11.44140625" style="3"/>
    <col min="11783" max="11783" width="12.44140625" style="3" customWidth="1"/>
    <col min="11784" max="11784" width="11.44140625" style="3"/>
    <col min="11785" max="11785" width="9.77734375" style="3" bestFit="1" customWidth="1"/>
    <col min="11786" max="11786" width="12" style="3" bestFit="1" customWidth="1"/>
    <col min="11787" max="11787" width="11.44140625" style="3"/>
    <col min="11788" max="11788" width="12" style="3" bestFit="1" customWidth="1"/>
    <col min="11789" max="11789" width="10.44140625" style="3" customWidth="1"/>
    <col min="11790" max="11790" width="11.77734375" style="3" bestFit="1" customWidth="1"/>
    <col min="11791" max="11791" width="11.21875" style="3" bestFit="1" customWidth="1"/>
    <col min="11792" max="11794" width="11.44140625" style="3"/>
    <col min="11795" max="11795" width="2.21875" style="3" customWidth="1"/>
    <col min="11796" max="12031" width="11.44140625" style="3"/>
    <col min="12032" max="12032" width="3.21875" style="3" customWidth="1"/>
    <col min="12033" max="12033" width="33.77734375" style="3" customWidth="1"/>
    <col min="12034" max="12034" width="11.44140625" style="3"/>
    <col min="12035" max="12035" width="10.77734375" style="3" bestFit="1" customWidth="1"/>
    <col min="12036" max="12036" width="10.77734375" style="3" customWidth="1"/>
    <col min="12037" max="12037" width="11.21875" style="3" bestFit="1" customWidth="1"/>
    <col min="12038" max="12038" width="11.44140625" style="3"/>
    <col min="12039" max="12039" width="12.44140625" style="3" customWidth="1"/>
    <col min="12040" max="12040" width="11.44140625" style="3"/>
    <col min="12041" max="12041" width="9.77734375" style="3" bestFit="1" customWidth="1"/>
    <col min="12042" max="12042" width="12" style="3" bestFit="1" customWidth="1"/>
    <col min="12043" max="12043" width="11.44140625" style="3"/>
    <col min="12044" max="12044" width="12" style="3" bestFit="1" customWidth="1"/>
    <col min="12045" max="12045" width="10.44140625" style="3" customWidth="1"/>
    <col min="12046" max="12046" width="11.77734375" style="3" bestFit="1" customWidth="1"/>
    <col min="12047" max="12047" width="11.21875" style="3" bestFit="1" customWidth="1"/>
    <col min="12048" max="12050" width="11.44140625" style="3"/>
    <col min="12051" max="12051" width="2.21875" style="3" customWidth="1"/>
    <col min="12052" max="12287" width="11.44140625" style="3"/>
    <col min="12288" max="12288" width="3.21875" style="3" customWidth="1"/>
    <col min="12289" max="12289" width="33.77734375" style="3" customWidth="1"/>
    <col min="12290" max="12290" width="11.44140625" style="3"/>
    <col min="12291" max="12291" width="10.77734375" style="3" bestFit="1" customWidth="1"/>
    <col min="12292" max="12292" width="10.77734375" style="3" customWidth="1"/>
    <col min="12293" max="12293" width="11.21875" style="3" bestFit="1" customWidth="1"/>
    <col min="12294" max="12294" width="11.44140625" style="3"/>
    <col min="12295" max="12295" width="12.44140625" style="3" customWidth="1"/>
    <col min="12296" max="12296" width="11.44140625" style="3"/>
    <col min="12297" max="12297" width="9.77734375" style="3" bestFit="1" customWidth="1"/>
    <col min="12298" max="12298" width="12" style="3" bestFit="1" customWidth="1"/>
    <col min="12299" max="12299" width="11.44140625" style="3"/>
    <col min="12300" max="12300" width="12" style="3" bestFit="1" customWidth="1"/>
    <col min="12301" max="12301" width="10.44140625" style="3" customWidth="1"/>
    <col min="12302" max="12302" width="11.77734375" style="3" bestFit="1" customWidth="1"/>
    <col min="12303" max="12303" width="11.21875" style="3" bestFit="1" customWidth="1"/>
    <col min="12304" max="12306" width="11.44140625" style="3"/>
    <col min="12307" max="12307" width="2.21875" style="3" customWidth="1"/>
    <col min="12308" max="12543" width="11.44140625" style="3"/>
    <col min="12544" max="12544" width="3.21875" style="3" customWidth="1"/>
    <col min="12545" max="12545" width="33.77734375" style="3" customWidth="1"/>
    <col min="12546" max="12546" width="11.44140625" style="3"/>
    <col min="12547" max="12547" width="10.77734375" style="3" bestFit="1" customWidth="1"/>
    <col min="12548" max="12548" width="10.77734375" style="3" customWidth="1"/>
    <col min="12549" max="12549" width="11.21875" style="3" bestFit="1" customWidth="1"/>
    <col min="12550" max="12550" width="11.44140625" style="3"/>
    <col min="12551" max="12551" width="12.44140625" style="3" customWidth="1"/>
    <col min="12552" max="12552" width="11.44140625" style="3"/>
    <col min="12553" max="12553" width="9.77734375" style="3" bestFit="1" customWidth="1"/>
    <col min="12554" max="12554" width="12" style="3" bestFit="1" customWidth="1"/>
    <col min="12555" max="12555" width="11.44140625" style="3"/>
    <col min="12556" max="12556" width="12" style="3" bestFit="1" customWidth="1"/>
    <col min="12557" max="12557" width="10.44140625" style="3" customWidth="1"/>
    <col min="12558" max="12558" width="11.77734375" style="3" bestFit="1" customWidth="1"/>
    <col min="12559" max="12559" width="11.21875" style="3" bestFit="1" customWidth="1"/>
    <col min="12560" max="12562" width="11.44140625" style="3"/>
    <col min="12563" max="12563" width="2.21875" style="3" customWidth="1"/>
    <col min="12564" max="12799" width="11.44140625" style="3"/>
    <col min="12800" max="12800" width="3.21875" style="3" customWidth="1"/>
    <col min="12801" max="12801" width="33.77734375" style="3" customWidth="1"/>
    <col min="12802" max="12802" width="11.44140625" style="3"/>
    <col min="12803" max="12803" width="10.77734375" style="3" bestFit="1" customWidth="1"/>
    <col min="12804" max="12804" width="10.77734375" style="3" customWidth="1"/>
    <col min="12805" max="12805" width="11.21875" style="3" bestFit="1" customWidth="1"/>
    <col min="12806" max="12806" width="11.44140625" style="3"/>
    <col min="12807" max="12807" width="12.44140625" style="3" customWidth="1"/>
    <col min="12808" max="12808" width="11.44140625" style="3"/>
    <col min="12809" max="12809" width="9.77734375" style="3" bestFit="1" customWidth="1"/>
    <col min="12810" max="12810" width="12" style="3" bestFit="1" customWidth="1"/>
    <col min="12811" max="12811" width="11.44140625" style="3"/>
    <col min="12812" max="12812" width="12" style="3" bestFit="1" customWidth="1"/>
    <col min="12813" max="12813" width="10.44140625" style="3" customWidth="1"/>
    <col min="12814" max="12814" width="11.77734375" style="3" bestFit="1" customWidth="1"/>
    <col min="12815" max="12815" width="11.21875" style="3" bestFit="1" customWidth="1"/>
    <col min="12816" max="12818" width="11.44140625" style="3"/>
    <col min="12819" max="12819" width="2.21875" style="3" customWidth="1"/>
    <col min="12820" max="13055" width="11.44140625" style="3"/>
    <col min="13056" max="13056" width="3.21875" style="3" customWidth="1"/>
    <col min="13057" max="13057" width="33.77734375" style="3" customWidth="1"/>
    <col min="13058" max="13058" width="11.44140625" style="3"/>
    <col min="13059" max="13059" width="10.77734375" style="3" bestFit="1" customWidth="1"/>
    <col min="13060" max="13060" width="10.77734375" style="3" customWidth="1"/>
    <col min="13061" max="13061" width="11.21875" style="3" bestFit="1" customWidth="1"/>
    <col min="13062" max="13062" width="11.44140625" style="3"/>
    <col min="13063" max="13063" width="12.44140625" style="3" customWidth="1"/>
    <col min="13064" max="13064" width="11.44140625" style="3"/>
    <col min="13065" max="13065" width="9.77734375" style="3" bestFit="1" customWidth="1"/>
    <col min="13066" max="13066" width="12" style="3" bestFit="1" customWidth="1"/>
    <col min="13067" max="13067" width="11.44140625" style="3"/>
    <col min="13068" max="13068" width="12" style="3" bestFit="1" customWidth="1"/>
    <col min="13069" max="13069" width="10.44140625" style="3" customWidth="1"/>
    <col min="13070" max="13070" width="11.77734375" style="3" bestFit="1" customWidth="1"/>
    <col min="13071" max="13071" width="11.21875" style="3" bestFit="1" customWidth="1"/>
    <col min="13072" max="13074" width="11.44140625" style="3"/>
    <col min="13075" max="13075" width="2.21875" style="3" customWidth="1"/>
    <col min="13076" max="13311" width="11.44140625" style="3"/>
    <col min="13312" max="13312" width="3.21875" style="3" customWidth="1"/>
    <col min="13313" max="13313" width="33.77734375" style="3" customWidth="1"/>
    <col min="13314" max="13314" width="11.44140625" style="3"/>
    <col min="13315" max="13315" width="10.77734375" style="3" bestFit="1" customWidth="1"/>
    <col min="13316" max="13316" width="10.77734375" style="3" customWidth="1"/>
    <col min="13317" max="13317" width="11.21875" style="3" bestFit="1" customWidth="1"/>
    <col min="13318" max="13318" width="11.44140625" style="3"/>
    <col min="13319" max="13319" width="12.44140625" style="3" customWidth="1"/>
    <col min="13320" max="13320" width="11.44140625" style="3"/>
    <col min="13321" max="13321" width="9.77734375" style="3" bestFit="1" customWidth="1"/>
    <col min="13322" max="13322" width="12" style="3" bestFit="1" customWidth="1"/>
    <col min="13323" max="13323" width="11.44140625" style="3"/>
    <col min="13324" max="13324" width="12" style="3" bestFit="1" customWidth="1"/>
    <col min="13325" max="13325" width="10.44140625" style="3" customWidth="1"/>
    <col min="13326" max="13326" width="11.77734375" style="3" bestFit="1" customWidth="1"/>
    <col min="13327" max="13327" width="11.21875" style="3" bestFit="1" customWidth="1"/>
    <col min="13328" max="13330" width="11.44140625" style="3"/>
    <col min="13331" max="13331" width="2.21875" style="3" customWidth="1"/>
    <col min="13332" max="13567" width="11.44140625" style="3"/>
    <col min="13568" max="13568" width="3.21875" style="3" customWidth="1"/>
    <col min="13569" max="13569" width="33.77734375" style="3" customWidth="1"/>
    <col min="13570" max="13570" width="11.44140625" style="3"/>
    <col min="13571" max="13571" width="10.77734375" style="3" bestFit="1" customWidth="1"/>
    <col min="13572" max="13572" width="10.77734375" style="3" customWidth="1"/>
    <col min="13573" max="13573" width="11.21875" style="3" bestFit="1" customWidth="1"/>
    <col min="13574" max="13574" width="11.44140625" style="3"/>
    <col min="13575" max="13575" width="12.44140625" style="3" customWidth="1"/>
    <col min="13576" max="13576" width="11.44140625" style="3"/>
    <col min="13577" max="13577" width="9.77734375" style="3" bestFit="1" customWidth="1"/>
    <col min="13578" max="13578" width="12" style="3" bestFit="1" customWidth="1"/>
    <col min="13579" max="13579" width="11.44140625" style="3"/>
    <col min="13580" max="13580" width="12" style="3" bestFit="1" customWidth="1"/>
    <col min="13581" max="13581" width="10.44140625" style="3" customWidth="1"/>
    <col min="13582" max="13582" width="11.77734375" style="3" bestFit="1" customWidth="1"/>
    <col min="13583" max="13583" width="11.21875" style="3" bestFit="1" customWidth="1"/>
    <col min="13584" max="13586" width="11.44140625" style="3"/>
    <col min="13587" max="13587" width="2.21875" style="3" customWidth="1"/>
    <col min="13588" max="13823" width="11.44140625" style="3"/>
    <col min="13824" max="13824" width="3.21875" style="3" customWidth="1"/>
    <col min="13825" max="13825" width="33.77734375" style="3" customWidth="1"/>
    <col min="13826" max="13826" width="11.44140625" style="3"/>
    <col min="13827" max="13827" width="10.77734375" style="3" bestFit="1" customWidth="1"/>
    <col min="13828" max="13828" width="10.77734375" style="3" customWidth="1"/>
    <col min="13829" max="13829" width="11.21875" style="3" bestFit="1" customWidth="1"/>
    <col min="13830" max="13830" width="11.44140625" style="3"/>
    <col min="13831" max="13831" width="12.44140625" style="3" customWidth="1"/>
    <col min="13832" max="13832" width="11.44140625" style="3"/>
    <col min="13833" max="13833" width="9.77734375" style="3" bestFit="1" customWidth="1"/>
    <col min="13834" max="13834" width="12" style="3" bestFit="1" customWidth="1"/>
    <col min="13835" max="13835" width="11.44140625" style="3"/>
    <col min="13836" max="13836" width="12" style="3" bestFit="1" customWidth="1"/>
    <col min="13837" max="13837" width="10.44140625" style="3" customWidth="1"/>
    <col min="13838" max="13838" width="11.77734375" style="3" bestFit="1" customWidth="1"/>
    <col min="13839" max="13839" width="11.21875" style="3" bestFit="1" customWidth="1"/>
    <col min="13840" max="13842" width="11.44140625" style="3"/>
    <col min="13843" max="13843" width="2.21875" style="3" customWidth="1"/>
    <col min="13844" max="14079" width="11.44140625" style="3"/>
    <col min="14080" max="14080" width="3.21875" style="3" customWidth="1"/>
    <col min="14081" max="14081" width="33.77734375" style="3" customWidth="1"/>
    <col min="14082" max="14082" width="11.44140625" style="3"/>
    <col min="14083" max="14083" width="10.77734375" style="3" bestFit="1" customWidth="1"/>
    <col min="14084" max="14084" width="10.77734375" style="3" customWidth="1"/>
    <col min="14085" max="14085" width="11.21875" style="3" bestFit="1" customWidth="1"/>
    <col min="14086" max="14086" width="11.44140625" style="3"/>
    <col min="14087" max="14087" width="12.44140625" style="3" customWidth="1"/>
    <col min="14088" max="14088" width="11.44140625" style="3"/>
    <col min="14089" max="14089" width="9.77734375" style="3" bestFit="1" customWidth="1"/>
    <col min="14090" max="14090" width="12" style="3" bestFit="1" customWidth="1"/>
    <col min="14091" max="14091" width="11.44140625" style="3"/>
    <col min="14092" max="14092" width="12" style="3" bestFit="1" customWidth="1"/>
    <col min="14093" max="14093" width="10.44140625" style="3" customWidth="1"/>
    <col min="14094" max="14094" width="11.77734375" style="3" bestFit="1" customWidth="1"/>
    <col min="14095" max="14095" width="11.21875" style="3" bestFit="1" customWidth="1"/>
    <col min="14096" max="14098" width="11.44140625" style="3"/>
    <col min="14099" max="14099" width="2.21875" style="3" customWidth="1"/>
    <col min="14100" max="14335" width="11.44140625" style="3"/>
    <col min="14336" max="14336" width="3.21875" style="3" customWidth="1"/>
    <col min="14337" max="14337" width="33.77734375" style="3" customWidth="1"/>
    <col min="14338" max="14338" width="11.44140625" style="3"/>
    <col min="14339" max="14339" width="10.77734375" style="3" bestFit="1" customWidth="1"/>
    <col min="14340" max="14340" width="10.77734375" style="3" customWidth="1"/>
    <col min="14341" max="14341" width="11.21875" style="3" bestFit="1" customWidth="1"/>
    <col min="14342" max="14342" width="11.44140625" style="3"/>
    <col min="14343" max="14343" width="12.44140625" style="3" customWidth="1"/>
    <col min="14344" max="14344" width="11.44140625" style="3"/>
    <col min="14345" max="14345" width="9.77734375" style="3" bestFit="1" customWidth="1"/>
    <col min="14346" max="14346" width="12" style="3" bestFit="1" customWidth="1"/>
    <col min="14347" max="14347" width="11.44140625" style="3"/>
    <col min="14348" max="14348" width="12" style="3" bestFit="1" customWidth="1"/>
    <col min="14349" max="14349" width="10.44140625" style="3" customWidth="1"/>
    <col min="14350" max="14350" width="11.77734375" style="3" bestFit="1" customWidth="1"/>
    <col min="14351" max="14351" width="11.21875" style="3" bestFit="1" customWidth="1"/>
    <col min="14352" max="14354" width="11.44140625" style="3"/>
    <col min="14355" max="14355" width="2.21875" style="3" customWidth="1"/>
    <col min="14356" max="14591" width="11.44140625" style="3"/>
    <col min="14592" max="14592" width="3.21875" style="3" customWidth="1"/>
    <col min="14593" max="14593" width="33.77734375" style="3" customWidth="1"/>
    <col min="14594" max="14594" width="11.44140625" style="3"/>
    <col min="14595" max="14595" width="10.77734375" style="3" bestFit="1" customWidth="1"/>
    <col min="14596" max="14596" width="10.77734375" style="3" customWidth="1"/>
    <col min="14597" max="14597" width="11.21875" style="3" bestFit="1" customWidth="1"/>
    <col min="14598" max="14598" width="11.44140625" style="3"/>
    <col min="14599" max="14599" width="12.44140625" style="3" customWidth="1"/>
    <col min="14600" max="14600" width="11.44140625" style="3"/>
    <col min="14601" max="14601" width="9.77734375" style="3" bestFit="1" customWidth="1"/>
    <col min="14602" max="14602" width="12" style="3" bestFit="1" customWidth="1"/>
    <col min="14603" max="14603" width="11.44140625" style="3"/>
    <col min="14604" max="14604" width="12" style="3" bestFit="1" customWidth="1"/>
    <col min="14605" max="14605" width="10.44140625" style="3" customWidth="1"/>
    <col min="14606" max="14606" width="11.77734375" style="3" bestFit="1" customWidth="1"/>
    <col min="14607" max="14607" width="11.21875" style="3" bestFit="1" customWidth="1"/>
    <col min="14608" max="14610" width="11.44140625" style="3"/>
    <col min="14611" max="14611" width="2.21875" style="3" customWidth="1"/>
    <col min="14612" max="14847" width="11.44140625" style="3"/>
    <col min="14848" max="14848" width="3.21875" style="3" customWidth="1"/>
    <col min="14849" max="14849" width="33.77734375" style="3" customWidth="1"/>
    <col min="14850" max="14850" width="11.44140625" style="3"/>
    <col min="14851" max="14851" width="10.77734375" style="3" bestFit="1" customWidth="1"/>
    <col min="14852" max="14852" width="10.77734375" style="3" customWidth="1"/>
    <col min="14853" max="14853" width="11.21875" style="3" bestFit="1" customWidth="1"/>
    <col min="14854" max="14854" width="11.44140625" style="3"/>
    <col min="14855" max="14855" width="12.44140625" style="3" customWidth="1"/>
    <col min="14856" max="14856" width="11.44140625" style="3"/>
    <col min="14857" max="14857" width="9.77734375" style="3" bestFit="1" customWidth="1"/>
    <col min="14858" max="14858" width="12" style="3" bestFit="1" customWidth="1"/>
    <col min="14859" max="14859" width="11.44140625" style="3"/>
    <col min="14860" max="14860" width="12" style="3" bestFit="1" customWidth="1"/>
    <col min="14861" max="14861" width="10.44140625" style="3" customWidth="1"/>
    <col min="14862" max="14862" width="11.77734375" style="3" bestFit="1" customWidth="1"/>
    <col min="14863" max="14863" width="11.21875" style="3" bestFit="1" customWidth="1"/>
    <col min="14864" max="14866" width="11.44140625" style="3"/>
    <col min="14867" max="14867" width="2.21875" style="3" customWidth="1"/>
    <col min="14868" max="15103" width="11.44140625" style="3"/>
    <col min="15104" max="15104" width="3.21875" style="3" customWidth="1"/>
    <col min="15105" max="15105" width="33.77734375" style="3" customWidth="1"/>
    <col min="15106" max="15106" width="11.44140625" style="3"/>
    <col min="15107" max="15107" width="10.77734375" style="3" bestFit="1" customWidth="1"/>
    <col min="15108" max="15108" width="10.77734375" style="3" customWidth="1"/>
    <col min="15109" max="15109" width="11.21875" style="3" bestFit="1" customWidth="1"/>
    <col min="15110" max="15110" width="11.44140625" style="3"/>
    <col min="15111" max="15111" width="12.44140625" style="3" customWidth="1"/>
    <col min="15112" max="15112" width="11.44140625" style="3"/>
    <col min="15113" max="15113" width="9.77734375" style="3" bestFit="1" customWidth="1"/>
    <col min="15114" max="15114" width="12" style="3" bestFit="1" customWidth="1"/>
    <col min="15115" max="15115" width="11.44140625" style="3"/>
    <col min="15116" max="15116" width="12" style="3" bestFit="1" customWidth="1"/>
    <col min="15117" max="15117" width="10.44140625" style="3" customWidth="1"/>
    <col min="15118" max="15118" width="11.77734375" style="3" bestFit="1" customWidth="1"/>
    <col min="15119" max="15119" width="11.21875" style="3" bestFit="1" customWidth="1"/>
    <col min="15120" max="15122" width="11.44140625" style="3"/>
    <col min="15123" max="15123" width="2.21875" style="3" customWidth="1"/>
    <col min="15124" max="15359" width="11.44140625" style="3"/>
    <col min="15360" max="15360" width="3.21875" style="3" customWidth="1"/>
    <col min="15361" max="15361" width="33.77734375" style="3" customWidth="1"/>
    <col min="15362" max="15362" width="11.44140625" style="3"/>
    <col min="15363" max="15363" width="10.77734375" style="3" bestFit="1" customWidth="1"/>
    <col min="15364" max="15364" width="10.77734375" style="3" customWidth="1"/>
    <col min="15365" max="15365" width="11.21875" style="3" bestFit="1" customWidth="1"/>
    <col min="15366" max="15366" width="11.44140625" style="3"/>
    <col min="15367" max="15367" width="12.44140625" style="3" customWidth="1"/>
    <col min="15368" max="15368" width="11.44140625" style="3"/>
    <col min="15369" max="15369" width="9.77734375" style="3" bestFit="1" customWidth="1"/>
    <col min="15370" max="15370" width="12" style="3" bestFit="1" customWidth="1"/>
    <col min="15371" max="15371" width="11.44140625" style="3"/>
    <col min="15372" max="15372" width="12" style="3" bestFit="1" customWidth="1"/>
    <col min="15373" max="15373" width="10.44140625" style="3" customWidth="1"/>
    <col min="15374" max="15374" width="11.77734375" style="3" bestFit="1" customWidth="1"/>
    <col min="15375" max="15375" width="11.21875" style="3" bestFit="1" customWidth="1"/>
    <col min="15376" max="15378" width="11.44140625" style="3"/>
    <col min="15379" max="15379" width="2.21875" style="3" customWidth="1"/>
    <col min="15380" max="15615" width="11.44140625" style="3"/>
    <col min="15616" max="15616" width="3.21875" style="3" customWidth="1"/>
    <col min="15617" max="15617" width="33.77734375" style="3" customWidth="1"/>
    <col min="15618" max="15618" width="11.44140625" style="3"/>
    <col min="15619" max="15619" width="10.77734375" style="3" bestFit="1" customWidth="1"/>
    <col min="15620" max="15620" width="10.77734375" style="3" customWidth="1"/>
    <col min="15621" max="15621" width="11.21875" style="3" bestFit="1" customWidth="1"/>
    <col min="15622" max="15622" width="11.44140625" style="3"/>
    <col min="15623" max="15623" width="12.44140625" style="3" customWidth="1"/>
    <col min="15624" max="15624" width="11.44140625" style="3"/>
    <col min="15625" max="15625" width="9.77734375" style="3" bestFit="1" customWidth="1"/>
    <col min="15626" max="15626" width="12" style="3" bestFit="1" customWidth="1"/>
    <col min="15627" max="15627" width="11.44140625" style="3"/>
    <col min="15628" max="15628" width="12" style="3" bestFit="1" customWidth="1"/>
    <col min="15629" max="15629" width="10.44140625" style="3" customWidth="1"/>
    <col min="15630" max="15630" width="11.77734375" style="3" bestFit="1" customWidth="1"/>
    <col min="15631" max="15631" width="11.21875" style="3" bestFit="1" customWidth="1"/>
    <col min="15632" max="15634" width="11.44140625" style="3"/>
    <col min="15635" max="15635" width="2.21875" style="3" customWidth="1"/>
    <col min="15636" max="15871" width="11.44140625" style="3"/>
    <col min="15872" max="15872" width="3.21875" style="3" customWidth="1"/>
    <col min="15873" max="15873" width="33.77734375" style="3" customWidth="1"/>
    <col min="15874" max="15874" width="11.44140625" style="3"/>
    <col min="15875" max="15875" width="10.77734375" style="3" bestFit="1" customWidth="1"/>
    <col min="15876" max="15876" width="10.77734375" style="3" customWidth="1"/>
    <col min="15877" max="15877" width="11.21875" style="3" bestFit="1" customWidth="1"/>
    <col min="15878" max="15878" width="11.44140625" style="3"/>
    <col min="15879" max="15879" width="12.44140625" style="3" customWidth="1"/>
    <col min="15880" max="15880" width="11.44140625" style="3"/>
    <col min="15881" max="15881" width="9.77734375" style="3" bestFit="1" customWidth="1"/>
    <col min="15882" max="15882" width="12" style="3" bestFit="1" customWidth="1"/>
    <col min="15883" max="15883" width="11.44140625" style="3"/>
    <col min="15884" max="15884" width="12" style="3" bestFit="1" customWidth="1"/>
    <col min="15885" max="15885" width="10.44140625" style="3" customWidth="1"/>
    <col min="15886" max="15886" width="11.77734375" style="3" bestFit="1" customWidth="1"/>
    <col min="15887" max="15887" width="11.21875" style="3" bestFit="1" customWidth="1"/>
    <col min="15888" max="15890" width="11.44140625" style="3"/>
    <col min="15891" max="15891" width="2.21875" style="3" customWidth="1"/>
    <col min="15892" max="16127" width="11.44140625" style="3"/>
    <col min="16128" max="16128" width="3.21875" style="3" customWidth="1"/>
    <col min="16129" max="16129" width="33.77734375" style="3" customWidth="1"/>
    <col min="16130" max="16130" width="11.44140625" style="3"/>
    <col min="16131" max="16131" width="10.77734375" style="3" bestFit="1" customWidth="1"/>
    <col min="16132" max="16132" width="10.77734375" style="3" customWidth="1"/>
    <col min="16133" max="16133" width="11.21875" style="3" bestFit="1" customWidth="1"/>
    <col min="16134" max="16134" width="11.44140625" style="3"/>
    <col min="16135" max="16135" width="12.44140625" style="3" customWidth="1"/>
    <col min="16136" max="16136" width="11.44140625" style="3"/>
    <col min="16137" max="16137" width="9.77734375" style="3" bestFit="1" customWidth="1"/>
    <col min="16138" max="16138" width="12" style="3" bestFit="1" customWidth="1"/>
    <col min="16139" max="16139" width="11.44140625" style="3"/>
    <col min="16140" max="16140" width="12" style="3" bestFit="1" customWidth="1"/>
    <col min="16141" max="16141" width="10.44140625" style="3" customWidth="1"/>
    <col min="16142" max="16142" width="11.77734375" style="3" bestFit="1" customWidth="1"/>
    <col min="16143" max="16143" width="11.21875" style="3" bestFit="1" customWidth="1"/>
    <col min="16144" max="16146" width="11.44140625" style="3"/>
    <col min="16147" max="16147" width="2.21875" style="3" customWidth="1"/>
    <col min="16148" max="16384" width="11.44140625" style="3"/>
  </cols>
  <sheetData>
    <row r="1" spans="1:18" ht="27" x14ac:dyDescent="0.65">
      <c r="A1" s="1" t="s">
        <v>0</v>
      </c>
      <c r="B1" s="2"/>
      <c r="C1" s="2"/>
      <c r="D1" s="2"/>
      <c r="E1" s="2"/>
      <c r="F1" s="2"/>
      <c r="G1" s="2"/>
      <c r="H1" s="2"/>
      <c r="I1" s="2"/>
      <c r="J1" s="2"/>
      <c r="K1" s="2"/>
      <c r="L1" s="2"/>
      <c r="M1" s="2"/>
      <c r="N1" s="2"/>
      <c r="O1" s="2"/>
      <c r="P1" s="2"/>
      <c r="Q1" s="2"/>
      <c r="R1" s="2"/>
    </row>
    <row r="2" spans="1:18" x14ac:dyDescent="0.45">
      <c r="A2" s="2" t="str">
        <f>"(In "&amp;C10&amp;" Millions Except Per Share Data)"</f>
        <v>(In INR Millions Except Per Share Data)</v>
      </c>
      <c r="B2" s="2"/>
      <c r="C2" s="2"/>
      <c r="D2" s="2"/>
      <c r="E2" s="2"/>
      <c r="F2" s="2"/>
      <c r="G2" s="2"/>
      <c r="H2" s="2"/>
      <c r="I2" s="2"/>
      <c r="J2" s="2"/>
      <c r="K2" s="2"/>
      <c r="L2" s="2"/>
      <c r="M2" s="2"/>
      <c r="N2" s="2"/>
      <c r="O2" s="2"/>
      <c r="P2" s="2"/>
      <c r="Q2" s="2"/>
      <c r="R2" s="2"/>
    </row>
    <row r="3" spans="1:18" ht="17.399999999999999" thickBot="1" x14ac:dyDescent="0.5"/>
    <row r="4" spans="1:18" x14ac:dyDescent="0.45">
      <c r="A4" s="4" t="s">
        <v>2</v>
      </c>
      <c r="B4" s="5"/>
      <c r="C4" s="6"/>
    </row>
    <row r="5" spans="1:18" x14ac:dyDescent="0.45">
      <c r="A5" s="7" t="s">
        <v>3</v>
      </c>
      <c r="C5" s="8" t="s">
        <v>185</v>
      </c>
    </row>
    <row r="6" spans="1:18" x14ac:dyDescent="0.45">
      <c r="A6" s="7" t="s">
        <v>4</v>
      </c>
      <c r="C6" s="151">
        <v>45457</v>
      </c>
    </row>
    <row r="7" spans="1:18" x14ac:dyDescent="0.45">
      <c r="A7" s="7" t="s">
        <v>116</v>
      </c>
      <c r="C7" s="12" t="s">
        <v>195</v>
      </c>
    </row>
    <row r="8" spans="1:18" x14ac:dyDescent="0.45">
      <c r="A8" s="7" t="s">
        <v>8</v>
      </c>
      <c r="C8" s="151">
        <v>45016</v>
      </c>
    </row>
    <row r="9" spans="1:18" x14ac:dyDescent="0.45">
      <c r="A9" s="7" t="s">
        <v>16</v>
      </c>
      <c r="C9" s="151">
        <v>45382</v>
      </c>
    </row>
    <row r="10" spans="1:18" x14ac:dyDescent="0.45">
      <c r="A10" s="7" t="s">
        <v>17</v>
      </c>
      <c r="C10" s="8" t="s">
        <v>189</v>
      </c>
    </row>
    <row r="11" spans="1:18" ht="17.399999999999999" thickBot="1" x14ac:dyDescent="0.5">
      <c r="A11" s="24" t="s">
        <v>18</v>
      </c>
      <c r="B11" s="17"/>
      <c r="C11" s="152">
        <f>30%*1.12*1.04</f>
        <v>0.34944000000000003</v>
      </c>
    </row>
    <row r="13" spans="1:18" ht="17.399999999999999" thickBot="1" x14ac:dyDescent="0.5"/>
    <row r="14" spans="1:18" ht="17.399999999999999" thickBot="1" x14ac:dyDescent="0.5">
      <c r="A14" s="9" t="s">
        <v>19</v>
      </c>
      <c r="B14" s="10"/>
      <c r="C14" s="26" t="s">
        <v>20</v>
      </c>
      <c r="D14" s="26" t="s">
        <v>21</v>
      </c>
      <c r="E14" s="26" t="s">
        <v>22</v>
      </c>
      <c r="F14" s="11"/>
    </row>
    <row r="15" spans="1:18" x14ac:dyDescent="0.45">
      <c r="A15" s="7" t="s">
        <v>23</v>
      </c>
      <c r="C15" s="27">
        <v>688.9</v>
      </c>
      <c r="D15" s="27"/>
      <c r="E15" s="27"/>
      <c r="F15" s="28"/>
    </row>
    <row r="16" spans="1:18" x14ac:dyDescent="0.45">
      <c r="A16" s="7" t="s">
        <v>24</v>
      </c>
      <c r="C16" s="27">
        <f>1527131434/ml</f>
        <v>1527.1314339999999</v>
      </c>
      <c r="D16" s="27"/>
      <c r="E16" s="27"/>
      <c r="F16" s="29"/>
    </row>
    <row r="17" spans="1:15" x14ac:dyDescent="0.45">
      <c r="A17" s="7" t="s">
        <v>25</v>
      </c>
      <c r="C17" s="175">
        <f>C16+I45+C53+F60</f>
        <v>1528.794940870373</v>
      </c>
      <c r="D17" s="135"/>
      <c r="E17" s="135"/>
      <c r="F17" s="29"/>
      <c r="G17" s="3" t="s">
        <v>196</v>
      </c>
      <c r="H17" s="3" t="s">
        <v>145</v>
      </c>
    </row>
    <row r="18" spans="1:15" x14ac:dyDescent="0.45">
      <c r="A18" s="7" t="s">
        <v>26</v>
      </c>
      <c r="C18" s="135">
        <f>C15*C17</f>
        <v>1053186.8347656</v>
      </c>
      <c r="D18" s="135"/>
      <c r="E18" s="135"/>
      <c r="F18" s="30">
        <f>SUM(C18:E18)</f>
        <v>1053186.8347656</v>
      </c>
      <c r="G18" s="3">
        <f>3017.44*10</f>
        <v>30174.400000000001</v>
      </c>
      <c r="H18" s="123">
        <f>F18/G18</f>
        <v>34.903323173471549</v>
      </c>
    </row>
    <row r="19" spans="1:15" x14ac:dyDescent="0.45">
      <c r="A19" s="7"/>
      <c r="C19" s="136" t="s">
        <v>144</v>
      </c>
      <c r="D19" s="136" t="s">
        <v>145</v>
      </c>
      <c r="E19" s="137" t="s">
        <v>146</v>
      </c>
      <c r="F19" s="138"/>
    </row>
    <row r="20" spans="1:15" x14ac:dyDescent="0.45">
      <c r="A20" s="33" t="s">
        <v>163</v>
      </c>
      <c r="C20" s="27">
        <f>1.33*10</f>
        <v>13.3</v>
      </c>
      <c r="D20" s="27">
        <f>H18</f>
        <v>34.903323173471549</v>
      </c>
      <c r="E20" s="135">
        <f>C20*D20</f>
        <v>464.21419820717165</v>
      </c>
      <c r="F20" s="30">
        <f>CHOOSE(H20,C20,E20)</f>
        <v>464.21419820717165</v>
      </c>
      <c r="G20" s="3" t="s">
        <v>196</v>
      </c>
      <c r="H20" s="120">
        <v>2</v>
      </c>
      <c r="O20" s="3" t="s">
        <v>144</v>
      </c>
    </row>
    <row r="21" spans="1:15" x14ac:dyDescent="0.45">
      <c r="A21" s="33" t="s">
        <v>28</v>
      </c>
      <c r="E21" s="3" t="s">
        <v>165</v>
      </c>
      <c r="F21" s="138"/>
      <c r="H21" s="120"/>
      <c r="O21" s="3" t="s">
        <v>146</v>
      </c>
    </row>
    <row r="22" spans="1:15" x14ac:dyDescent="0.45">
      <c r="A22" s="33"/>
      <c r="B22" s="3" t="s">
        <v>149</v>
      </c>
      <c r="E22" s="27"/>
      <c r="F22" s="29"/>
      <c r="H22" s="120"/>
    </row>
    <row r="23" spans="1:15" x14ac:dyDescent="0.45">
      <c r="A23" s="7"/>
      <c r="B23" s="36" t="s">
        <v>150</v>
      </c>
      <c r="E23" s="135"/>
      <c r="F23" s="30">
        <v>0</v>
      </c>
      <c r="H23" s="120"/>
      <c r="O23" s="3" t="s">
        <v>147</v>
      </c>
    </row>
    <row r="24" spans="1:15" x14ac:dyDescent="0.45">
      <c r="A24" s="33" t="s">
        <v>29</v>
      </c>
      <c r="E24" s="3" t="s">
        <v>164</v>
      </c>
      <c r="F24" s="138"/>
      <c r="H24" s="120"/>
      <c r="O24" s="3" t="s">
        <v>148</v>
      </c>
    </row>
    <row r="25" spans="1:15" ht="15" customHeight="1" x14ac:dyDescent="0.45">
      <c r="A25" s="7"/>
      <c r="B25" s="36" t="s">
        <v>166</v>
      </c>
      <c r="E25" s="35"/>
      <c r="F25" s="29"/>
      <c r="H25" s="120"/>
    </row>
    <row r="26" spans="1:15" ht="15" customHeight="1" x14ac:dyDescent="0.45">
      <c r="A26" s="7"/>
      <c r="B26" s="36" t="s">
        <v>153</v>
      </c>
      <c r="C26" s="36"/>
      <c r="E26" s="135"/>
      <c r="F26" s="30">
        <v>0</v>
      </c>
      <c r="H26" s="120"/>
      <c r="O26" s="3" t="s">
        <v>151</v>
      </c>
    </row>
    <row r="27" spans="1:15" x14ac:dyDescent="0.45">
      <c r="A27" s="33" t="s">
        <v>34</v>
      </c>
      <c r="E27" s="31"/>
      <c r="F27" s="29"/>
      <c r="O27" s="3" t="s">
        <v>152</v>
      </c>
    </row>
    <row r="28" spans="1:15" ht="15" customHeight="1" x14ac:dyDescent="0.45">
      <c r="A28" s="33"/>
      <c r="B28" s="3" t="s">
        <v>35</v>
      </c>
      <c r="E28" s="31"/>
      <c r="F28" s="32">
        <f>10.06*10</f>
        <v>100.60000000000001</v>
      </c>
    </row>
    <row r="29" spans="1:15" x14ac:dyDescent="0.45">
      <c r="A29" s="7"/>
      <c r="B29" s="3" t="s">
        <v>36</v>
      </c>
      <c r="E29" s="31"/>
      <c r="F29" s="32">
        <f>(11.91+5.53)*10</f>
        <v>174.4</v>
      </c>
      <c r="H29" s="120"/>
      <c r="O29" s="3" t="s">
        <v>157</v>
      </c>
    </row>
    <row r="30" spans="1:15" x14ac:dyDescent="0.45">
      <c r="A30" s="33" t="s">
        <v>37</v>
      </c>
      <c r="E30" s="31"/>
      <c r="F30" s="32">
        <f>(199.84+654.57)*10</f>
        <v>8544.1</v>
      </c>
      <c r="O30" s="3" t="s">
        <v>158</v>
      </c>
    </row>
    <row r="31" spans="1:15" x14ac:dyDescent="0.45">
      <c r="A31" s="33" t="s">
        <v>137</v>
      </c>
      <c r="E31" s="31"/>
      <c r="F31" s="32">
        <f>(0.75+587.7+73.18-64.27)*10</f>
        <v>5973.6000000000013</v>
      </c>
    </row>
    <row r="32" spans="1:15" ht="17.399999999999999" thickBot="1" x14ac:dyDescent="0.5">
      <c r="A32" s="46" t="s">
        <v>19</v>
      </c>
      <c r="B32" s="47"/>
      <c r="C32" s="47"/>
      <c r="D32" s="48"/>
      <c r="E32" s="48"/>
      <c r="F32" s="139">
        <f>F18+F20+F23+F26+F29-F30-F31+F28</f>
        <v>1039408.3489638072</v>
      </c>
    </row>
    <row r="33" spans="1:18" ht="15" customHeight="1" x14ac:dyDescent="0.45">
      <c r="A33" s="3" t="s">
        <v>39</v>
      </c>
      <c r="F33" s="140">
        <f>F18/SUM(C17:E17)</f>
        <v>688.90000000000009</v>
      </c>
    </row>
    <row r="34" spans="1:18" ht="17.399999999999999" thickBot="1" x14ac:dyDescent="0.5">
      <c r="H34" s="51"/>
      <c r="I34" s="51"/>
      <c r="J34" s="51"/>
    </row>
    <row r="35" spans="1:18" ht="17.399999999999999" thickBot="1" x14ac:dyDescent="0.5">
      <c r="A35" s="9" t="s">
        <v>1</v>
      </c>
      <c r="B35" s="10"/>
      <c r="C35" s="10"/>
      <c r="D35" s="10"/>
      <c r="E35" s="10"/>
      <c r="F35" s="10"/>
      <c r="G35" s="10"/>
      <c r="H35" s="10"/>
      <c r="I35" s="11"/>
      <c r="J35" s="51"/>
      <c r="K35" s="51"/>
      <c r="L35" s="51"/>
      <c r="M35" s="51"/>
      <c r="N35" s="51"/>
      <c r="O35" s="51"/>
      <c r="P35" s="51"/>
    </row>
    <row r="36" spans="1:18" ht="17.399999999999999" thickBot="1" x14ac:dyDescent="0.5">
      <c r="H36" s="51"/>
      <c r="I36" s="51"/>
      <c r="J36" s="51"/>
      <c r="K36" s="51"/>
      <c r="L36" s="51"/>
      <c r="M36" s="51"/>
      <c r="N36" s="51"/>
      <c r="O36" s="51"/>
      <c r="P36" s="51"/>
      <c r="Q36" s="51"/>
      <c r="R36" s="51"/>
    </row>
    <row r="37" spans="1:18" x14ac:dyDescent="0.45">
      <c r="B37" s="192" t="s">
        <v>138</v>
      </c>
      <c r="C37" s="193"/>
      <c r="D37" s="193"/>
      <c r="E37" s="193"/>
      <c r="F37" s="193"/>
      <c r="G37" s="193"/>
      <c r="H37" s="193"/>
      <c r="I37" s="194"/>
      <c r="K37" s="51"/>
      <c r="L37" s="51"/>
      <c r="M37" s="51"/>
      <c r="N37" s="51"/>
      <c r="O37" s="51"/>
      <c r="P37" s="51"/>
      <c r="Q37" s="51"/>
      <c r="R37" s="51"/>
    </row>
    <row r="38" spans="1:18" ht="16.05" customHeight="1" x14ac:dyDescent="0.45">
      <c r="B38" s="161"/>
      <c r="C38" s="195" t="s">
        <v>89</v>
      </c>
      <c r="D38" s="162" t="s">
        <v>5</v>
      </c>
      <c r="E38" s="163"/>
      <c r="F38" s="197" t="s">
        <v>6</v>
      </c>
      <c r="G38" s="197"/>
      <c r="H38" s="197"/>
      <c r="I38" s="164" t="s">
        <v>7</v>
      </c>
      <c r="J38" s="51"/>
      <c r="K38" s="51"/>
      <c r="L38" s="51"/>
      <c r="M38" s="51"/>
      <c r="N38" s="51"/>
      <c r="O38" s="51"/>
      <c r="P38" s="51"/>
      <c r="Q38" s="51"/>
      <c r="R38" s="51"/>
    </row>
    <row r="39" spans="1:18" x14ac:dyDescent="0.45">
      <c r="B39" s="165"/>
      <c r="C39" s="196"/>
      <c r="D39" s="158" t="s">
        <v>10</v>
      </c>
      <c r="E39" s="158" t="s">
        <v>11</v>
      </c>
      <c r="F39" s="158" t="s">
        <v>12</v>
      </c>
      <c r="G39" s="160" t="s">
        <v>13</v>
      </c>
      <c r="H39" s="160" t="s">
        <v>14</v>
      </c>
      <c r="I39" s="166" t="s">
        <v>15</v>
      </c>
      <c r="J39" s="51"/>
      <c r="K39" s="51"/>
      <c r="L39" s="51"/>
      <c r="M39" s="51"/>
      <c r="N39" s="51"/>
      <c r="O39" s="51"/>
      <c r="P39" s="51"/>
      <c r="Q39" s="51"/>
      <c r="R39" s="51"/>
    </row>
    <row r="40" spans="1:18" x14ac:dyDescent="0.45">
      <c r="B40" s="165" t="s">
        <v>199</v>
      </c>
      <c r="C40" s="159">
        <f>783260/ml</f>
        <v>0.78325999999999996</v>
      </c>
      <c r="D40" s="128">
        <v>156.19999999999999</v>
      </c>
      <c r="E40" s="141" t="str">
        <f>IF(D40&lt;$C$15,"INTM","OTM")</f>
        <v>INTM</v>
      </c>
      <c r="F40" s="159">
        <f>IF(E40="INTM",C40,0)</f>
        <v>0.78325999999999996</v>
      </c>
      <c r="G40" s="170">
        <f>F40*D40</f>
        <v>122.34521199999999</v>
      </c>
      <c r="H40" s="171">
        <f>G40/$C$15</f>
        <v>0.17759502395122659</v>
      </c>
      <c r="I40" s="172">
        <f>F40-H40</f>
        <v>0.60566497604877334</v>
      </c>
      <c r="J40" s="51"/>
      <c r="K40" s="51"/>
      <c r="L40" s="51"/>
      <c r="M40" s="51"/>
      <c r="N40" s="51"/>
      <c r="O40" s="51"/>
      <c r="P40" s="51"/>
      <c r="Q40" s="51"/>
      <c r="R40" s="51"/>
    </row>
    <row r="41" spans="1:18" x14ac:dyDescent="0.45">
      <c r="B41" s="165" t="s">
        <v>200</v>
      </c>
      <c r="C41" s="159">
        <f>317120/ml</f>
        <v>0.31712000000000001</v>
      </c>
      <c r="D41" s="128">
        <v>156.19999999999999</v>
      </c>
      <c r="E41" s="141" t="str">
        <f t="shared" ref="E41" si="0">IF(D41&lt;$C$15,"INTM","OTM")</f>
        <v>INTM</v>
      </c>
      <c r="F41" s="159">
        <f t="shared" ref="F41:F44" si="1">IF(E41="INTM",C41,0)</f>
        <v>0.31712000000000001</v>
      </c>
      <c r="G41" s="170">
        <f t="shared" ref="G41:G44" si="2">F41*D41</f>
        <v>49.534143999999998</v>
      </c>
      <c r="H41" s="171">
        <f t="shared" ref="H41:H44" si="3">G41/$C$15</f>
        <v>7.1903242850921756E-2</v>
      </c>
      <c r="I41" s="172">
        <f t="shared" ref="I41:I44" si="4">F41-H41</f>
        <v>0.24521675714907826</v>
      </c>
      <c r="J41" s="51"/>
      <c r="K41" s="51"/>
      <c r="L41" s="51"/>
      <c r="M41" s="51"/>
      <c r="N41" s="51"/>
      <c r="O41" s="51"/>
      <c r="P41" s="51"/>
      <c r="Q41" s="51"/>
      <c r="R41" s="51"/>
    </row>
    <row r="42" spans="1:18" x14ac:dyDescent="0.45">
      <c r="B42" s="165" t="s">
        <v>201</v>
      </c>
      <c r="C42" s="159">
        <f>339480/ml</f>
        <v>0.33948</v>
      </c>
      <c r="D42" s="128">
        <v>156.19999999999999</v>
      </c>
      <c r="E42" s="141" t="str">
        <f>IF(D42&lt;$C$15,"INTM","OTM")</f>
        <v>INTM</v>
      </c>
      <c r="F42" s="159">
        <f t="shared" si="1"/>
        <v>0.33948</v>
      </c>
      <c r="G42" s="170">
        <f t="shared" si="2"/>
        <v>53.026775999999998</v>
      </c>
      <c r="H42" s="171">
        <f t="shared" si="3"/>
        <v>7.6973110756278121E-2</v>
      </c>
      <c r="I42" s="172">
        <f t="shared" si="4"/>
        <v>0.2625068892437219</v>
      </c>
      <c r="J42" s="51"/>
      <c r="K42" s="51"/>
      <c r="L42" s="51"/>
      <c r="M42" s="51"/>
      <c r="N42" s="51"/>
      <c r="O42" s="51"/>
      <c r="P42" s="51"/>
      <c r="Q42" s="51"/>
      <c r="R42" s="51"/>
    </row>
    <row r="43" spans="1:18" x14ac:dyDescent="0.45">
      <c r="B43" s="165" t="s">
        <v>202</v>
      </c>
      <c r="C43" s="159">
        <f>339480/ml</f>
        <v>0.33948</v>
      </c>
      <c r="D43" s="128">
        <v>156.19999999999999</v>
      </c>
      <c r="E43" s="141" t="str">
        <f>IF(D43&lt;$C$15,"INTM","OTM")</f>
        <v>INTM</v>
      </c>
      <c r="F43" s="159">
        <f t="shared" si="1"/>
        <v>0.33948</v>
      </c>
      <c r="G43" s="170">
        <f t="shared" si="2"/>
        <v>53.026775999999998</v>
      </c>
      <c r="H43" s="171">
        <f t="shared" si="3"/>
        <v>7.6973110756278121E-2</v>
      </c>
      <c r="I43" s="172">
        <f t="shared" si="4"/>
        <v>0.2625068892437219</v>
      </c>
      <c r="J43" s="51"/>
      <c r="K43" s="51"/>
      <c r="L43" s="51"/>
      <c r="M43" s="51"/>
      <c r="N43" s="51"/>
      <c r="O43" s="51"/>
      <c r="P43" s="51"/>
      <c r="Q43" s="51"/>
      <c r="R43" s="51"/>
    </row>
    <row r="44" spans="1:18" x14ac:dyDescent="0.45">
      <c r="B44" s="165" t="s">
        <v>203</v>
      </c>
      <c r="C44" s="159">
        <f>453140/ml</f>
        <v>0.45313999999999999</v>
      </c>
      <c r="D44" s="159">
        <v>251.65</v>
      </c>
      <c r="E44" s="141" t="str">
        <f>IF(D44&lt;$C$15,"INTM","OTM")</f>
        <v>INTM</v>
      </c>
      <c r="F44" s="159">
        <f t="shared" si="1"/>
        <v>0.45313999999999999</v>
      </c>
      <c r="G44" s="170">
        <f t="shared" si="2"/>
        <v>114.032681</v>
      </c>
      <c r="H44" s="171">
        <f t="shared" si="3"/>
        <v>0.16552864131223691</v>
      </c>
      <c r="I44" s="172">
        <f t="shared" si="4"/>
        <v>0.28761135868776311</v>
      </c>
      <c r="J44" s="51"/>
      <c r="K44" s="51"/>
      <c r="L44" s="51"/>
      <c r="M44" s="51"/>
      <c r="N44" s="51"/>
      <c r="O44" s="51"/>
      <c r="P44" s="51"/>
      <c r="Q44" s="51"/>
      <c r="R44" s="51"/>
    </row>
    <row r="45" spans="1:18" x14ac:dyDescent="0.45">
      <c r="B45" s="167"/>
      <c r="C45" s="168"/>
      <c r="D45" s="168"/>
      <c r="E45" s="168"/>
      <c r="F45" s="168"/>
      <c r="G45" s="168"/>
      <c r="H45" s="168"/>
      <c r="I45" s="169">
        <f>SUM(I40:I44)</f>
        <v>1.6635068703730584</v>
      </c>
      <c r="J45" s="51"/>
      <c r="K45" s="51"/>
      <c r="L45" s="51"/>
      <c r="M45" s="51"/>
      <c r="N45" s="51"/>
      <c r="O45" s="51"/>
      <c r="P45" s="51"/>
      <c r="Q45" s="51"/>
      <c r="R45" s="51"/>
    </row>
    <row r="46" spans="1:18" ht="17.399999999999999" thickBot="1" x14ac:dyDescent="0.5">
      <c r="H46" s="51"/>
      <c r="I46" s="51"/>
      <c r="J46" s="51"/>
      <c r="K46" s="51"/>
      <c r="L46" s="51"/>
      <c r="M46" s="51"/>
      <c r="N46" s="51"/>
      <c r="O46" s="51"/>
      <c r="P46" s="51"/>
      <c r="Q46" s="51"/>
      <c r="R46" s="51"/>
    </row>
    <row r="47" spans="1:18" ht="17.399999999999999" thickBot="1" x14ac:dyDescent="0.5">
      <c r="B47" s="9" t="s">
        <v>136</v>
      </c>
      <c r="C47" s="11"/>
      <c r="H47" s="51"/>
      <c r="I47" s="51"/>
      <c r="K47" s="51"/>
      <c r="L47" s="51"/>
      <c r="M47" s="51"/>
      <c r="N47" s="51"/>
      <c r="O47" s="51"/>
      <c r="P47" s="51"/>
      <c r="Q47" s="51"/>
      <c r="R47" s="51"/>
    </row>
    <row r="48" spans="1:18" x14ac:dyDescent="0.45">
      <c r="B48" s="39" t="s">
        <v>32</v>
      </c>
      <c r="C48" s="149"/>
      <c r="D48" s="40"/>
      <c r="E48" s="148"/>
      <c r="F48" s="41"/>
      <c r="H48" s="51"/>
      <c r="I48" s="51"/>
      <c r="K48" s="51"/>
      <c r="L48" s="51"/>
      <c r="M48" s="51"/>
      <c r="N48" s="51"/>
      <c r="O48" s="51"/>
      <c r="P48" s="51"/>
      <c r="Q48" s="51"/>
      <c r="R48" s="51"/>
    </row>
    <row r="49" spans="1:18" x14ac:dyDescent="0.45">
      <c r="B49" s="7"/>
      <c r="C49" s="118"/>
      <c r="D49" s="116"/>
      <c r="E49" s="117"/>
      <c r="F49" s="117"/>
      <c r="H49" s="51"/>
      <c r="I49" s="51"/>
      <c r="K49" s="51"/>
      <c r="L49" s="51"/>
      <c r="M49" s="51"/>
      <c r="N49" s="51"/>
      <c r="O49" s="51"/>
      <c r="P49" s="51"/>
      <c r="Q49" s="51"/>
      <c r="R49" s="51"/>
    </row>
    <row r="50" spans="1:18" x14ac:dyDescent="0.45">
      <c r="B50" s="7"/>
      <c r="C50" s="118"/>
      <c r="D50" s="116"/>
      <c r="E50" s="117"/>
      <c r="F50" s="117"/>
      <c r="H50" s="51"/>
      <c r="I50" s="51"/>
      <c r="K50" s="51"/>
      <c r="L50" s="51"/>
      <c r="M50" s="51"/>
      <c r="N50" s="51"/>
      <c r="O50" s="51"/>
      <c r="P50" s="51"/>
      <c r="Q50" s="51"/>
      <c r="R50" s="51"/>
    </row>
    <row r="51" spans="1:18" x14ac:dyDescent="0.45">
      <c r="B51" s="7"/>
      <c r="C51" s="118"/>
      <c r="D51" s="116"/>
      <c r="E51" s="117"/>
      <c r="F51" s="117"/>
      <c r="H51" s="51"/>
      <c r="I51" s="51"/>
      <c r="K51" s="51"/>
      <c r="L51" s="51"/>
      <c r="M51" s="51"/>
      <c r="N51" s="51"/>
      <c r="O51" s="51"/>
      <c r="P51" s="51"/>
      <c r="Q51" s="51"/>
      <c r="R51" s="51"/>
    </row>
    <row r="52" spans="1:18" x14ac:dyDescent="0.45">
      <c r="B52" s="7"/>
      <c r="C52" s="118"/>
      <c r="D52" s="116"/>
      <c r="E52" s="117"/>
      <c r="F52" s="117"/>
      <c r="H52" s="51"/>
      <c r="I52" s="51"/>
      <c r="K52" s="51"/>
      <c r="L52" s="51"/>
      <c r="M52" s="51"/>
      <c r="N52" s="51"/>
      <c r="O52" s="51"/>
      <c r="P52" s="51"/>
      <c r="Q52" s="51"/>
      <c r="R52" s="51"/>
    </row>
    <row r="53" spans="1:18" ht="17.399999999999999" thickBot="1" x14ac:dyDescent="0.5">
      <c r="B53" s="24"/>
      <c r="C53" s="45"/>
      <c r="D53" s="116"/>
      <c r="E53" s="116"/>
      <c r="F53" s="117"/>
      <c r="H53" s="51"/>
      <c r="I53" s="51"/>
      <c r="K53" s="51"/>
      <c r="L53" s="51"/>
      <c r="M53" s="51"/>
      <c r="N53" s="51"/>
      <c r="O53" s="51"/>
      <c r="P53" s="51"/>
      <c r="Q53" s="51"/>
      <c r="R53" s="51"/>
    </row>
    <row r="54" spans="1:18" ht="17.399999999999999" thickBot="1" x14ac:dyDescent="0.5">
      <c r="H54" s="51"/>
      <c r="I54" s="51"/>
      <c r="K54" s="51"/>
      <c r="L54" s="51"/>
      <c r="M54" s="51"/>
      <c r="N54" s="51"/>
      <c r="O54" s="51"/>
      <c r="P54" s="51"/>
      <c r="Q54" s="51"/>
      <c r="R54" s="51"/>
    </row>
    <row r="55" spans="1:18" ht="17.399999999999999" thickBot="1" x14ac:dyDescent="0.5">
      <c r="B55" s="9" t="s">
        <v>154</v>
      </c>
      <c r="C55" s="10"/>
      <c r="D55" s="10"/>
      <c r="E55" s="10"/>
      <c r="F55" s="11"/>
      <c r="H55" s="51"/>
      <c r="I55" s="51"/>
      <c r="K55" s="51"/>
      <c r="L55" s="51"/>
      <c r="M55" s="51"/>
      <c r="N55" s="51"/>
      <c r="O55" s="51"/>
      <c r="P55" s="51"/>
      <c r="Q55" s="51"/>
      <c r="R55" s="51"/>
    </row>
    <row r="56" spans="1:18" ht="16.05" customHeight="1" x14ac:dyDescent="0.45">
      <c r="B56" s="37"/>
      <c r="C56" s="38"/>
      <c r="D56" s="38"/>
      <c r="E56" s="180" t="s">
        <v>30</v>
      </c>
      <c r="F56" s="182" t="s">
        <v>31</v>
      </c>
      <c r="H56" s="51"/>
      <c r="I56" s="51"/>
      <c r="K56" s="51"/>
      <c r="L56" s="51"/>
      <c r="M56" s="51"/>
      <c r="N56" s="51"/>
      <c r="O56" s="51"/>
      <c r="P56" s="51"/>
      <c r="Q56" s="51"/>
      <c r="R56" s="51"/>
    </row>
    <row r="57" spans="1:18" x14ac:dyDescent="0.45">
      <c r="B57" s="39" t="s">
        <v>32</v>
      </c>
      <c r="C57" s="40" t="s">
        <v>33</v>
      </c>
      <c r="D57" s="40" t="s">
        <v>155</v>
      </c>
      <c r="E57" s="181"/>
      <c r="F57" s="183"/>
      <c r="H57" s="51"/>
      <c r="I57" s="51"/>
      <c r="K57" s="51"/>
      <c r="L57" s="51"/>
      <c r="M57" s="51"/>
      <c r="N57" s="51"/>
      <c r="O57" s="51"/>
      <c r="P57" s="51"/>
      <c r="Q57" s="51"/>
      <c r="R57" s="51"/>
    </row>
    <row r="58" spans="1:18" x14ac:dyDescent="0.45">
      <c r="B58" s="7"/>
      <c r="C58" s="27"/>
      <c r="D58" s="27"/>
      <c r="E58" s="42"/>
      <c r="F58" s="43"/>
      <c r="H58" s="51"/>
      <c r="I58" s="51"/>
      <c r="K58" s="51"/>
      <c r="L58" s="51"/>
      <c r="M58" s="51"/>
      <c r="N58" s="51"/>
      <c r="O58" s="51"/>
      <c r="P58" s="51"/>
      <c r="Q58" s="51"/>
      <c r="R58" s="51"/>
    </row>
    <row r="59" spans="1:18" x14ac:dyDescent="0.45">
      <c r="B59" s="7"/>
      <c r="C59" s="27"/>
      <c r="D59" s="27"/>
      <c r="E59" s="42"/>
      <c r="F59" s="43"/>
      <c r="H59" s="51"/>
      <c r="I59" s="51"/>
      <c r="K59" s="51"/>
      <c r="L59" s="51"/>
      <c r="M59" s="51"/>
      <c r="N59" s="51"/>
      <c r="O59" s="51"/>
      <c r="P59" s="51"/>
      <c r="Q59" s="51"/>
      <c r="R59" s="51"/>
    </row>
    <row r="60" spans="1:18" ht="17.399999999999999" thickBot="1" x14ac:dyDescent="0.5">
      <c r="B60" s="24"/>
      <c r="C60" s="44"/>
      <c r="D60" s="44"/>
      <c r="E60" s="44"/>
      <c r="F60" s="45"/>
      <c r="H60" s="51"/>
      <c r="I60" s="51"/>
      <c r="K60" s="51"/>
      <c r="L60" s="51"/>
      <c r="M60" s="51"/>
      <c r="N60" s="51"/>
      <c r="O60" s="51"/>
      <c r="P60" s="51"/>
      <c r="Q60" s="51"/>
      <c r="R60" s="51"/>
    </row>
    <row r="61" spans="1:18" x14ac:dyDescent="0.45">
      <c r="H61" s="51"/>
      <c r="I61" s="51"/>
      <c r="J61" s="51"/>
      <c r="K61" s="51"/>
      <c r="L61" s="51"/>
      <c r="M61" s="51"/>
      <c r="N61" s="51"/>
      <c r="O61" s="51"/>
      <c r="P61" s="51"/>
      <c r="Q61" s="51"/>
      <c r="R61" s="51"/>
    </row>
    <row r="62" spans="1:18" x14ac:dyDescent="0.45">
      <c r="I62" s="190" t="s">
        <v>139</v>
      </c>
      <c r="J62" s="190"/>
      <c r="K62" s="190"/>
      <c r="L62" s="191" t="s">
        <v>140</v>
      </c>
      <c r="M62" s="191"/>
    </row>
    <row r="63" spans="1:18" ht="16.05" customHeight="1" x14ac:dyDescent="0.45">
      <c r="A63" s="2" t="s">
        <v>40</v>
      </c>
      <c r="B63" s="2"/>
      <c r="C63" s="2"/>
      <c r="D63" s="2"/>
      <c r="E63" s="52" t="s">
        <v>41</v>
      </c>
      <c r="F63" s="52" t="s">
        <v>42</v>
      </c>
      <c r="G63" s="52" t="s">
        <v>43</v>
      </c>
      <c r="H63" s="52" t="s">
        <v>44</v>
      </c>
      <c r="I63" s="53" t="s">
        <v>45</v>
      </c>
      <c r="J63" s="53" t="s">
        <v>46</v>
      </c>
      <c r="K63" s="53" t="s">
        <v>47</v>
      </c>
      <c r="L63" s="53" t="s">
        <v>45</v>
      </c>
      <c r="M63" s="53" t="s">
        <v>46</v>
      </c>
      <c r="O63" s="120" t="s">
        <v>156</v>
      </c>
    </row>
    <row r="64" spans="1:18" x14ac:dyDescent="0.45">
      <c r="E64" s="120" t="s">
        <v>48</v>
      </c>
      <c r="F64" s="122">
        <f>YEARFRAC(C8,C9)*12</f>
        <v>12</v>
      </c>
      <c r="G64" s="122">
        <f>F64</f>
        <v>12</v>
      </c>
      <c r="H64" s="121">
        <f>C9</f>
        <v>45382</v>
      </c>
      <c r="I64" s="125">
        <f>EDATE(H64,12)</f>
        <v>45747</v>
      </c>
      <c r="J64" s="125">
        <f>EDATE(I64,12)</f>
        <v>46112</v>
      </c>
      <c r="K64" s="125">
        <f>EDATE(J64,12)</f>
        <v>46477</v>
      </c>
      <c r="L64" s="126">
        <v>45747</v>
      </c>
      <c r="M64" s="127">
        <f>EDATE(L64,12)</f>
        <v>46112</v>
      </c>
    </row>
    <row r="65" spans="1:20" ht="17.399999999999999" thickBot="1" x14ac:dyDescent="0.5">
      <c r="A65" s="3" t="s">
        <v>49</v>
      </c>
      <c r="E65" s="27">
        <f>8045.98*10</f>
        <v>80459.799999999988</v>
      </c>
      <c r="F65" s="27"/>
      <c r="G65" s="54"/>
      <c r="H65" s="27">
        <f>8045.98*10</f>
        <v>80459.799999999988</v>
      </c>
      <c r="I65" s="207">
        <v>98315</v>
      </c>
      <c r="J65" s="207">
        <v>121590</v>
      </c>
      <c r="K65" s="27"/>
      <c r="L65" s="55">
        <f>I65*(1-YEARFRAC(I$64,L$64))+J65*YEARFRAC(I$64,L$64)</f>
        <v>98315</v>
      </c>
      <c r="M65" s="55">
        <f>J65*(1-YEARFRAC(J$64,M$64))+K65*YEARFRAC(J$64,M$64)</f>
        <v>121590</v>
      </c>
      <c r="O65" s="145">
        <f>IFERROR((K65/E65)^(1/3)-1,0)</f>
        <v>-1</v>
      </c>
      <c r="T65" s="123"/>
    </row>
    <row r="66" spans="1:20" ht="5.25" customHeight="1" x14ac:dyDescent="0.5">
      <c r="E66" s="31"/>
      <c r="F66" s="31"/>
      <c r="G66" s="31"/>
      <c r="H66" s="31"/>
      <c r="I66" s="208"/>
      <c r="J66" s="208"/>
    </row>
    <row r="67" spans="1:20" ht="18" x14ac:dyDescent="0.5">
      <c r="A67" s="3" t="s">
        <v>50</v>
      </c>
      <c r="E67" s="27">
        <f>(1136.9-106.26+2.54)*10</f>
        <v>10331.800000000001</v>
      </c>
      <c r="F67" s="27"/>
      <c r="G67" s="27"/>
      <c r="H67" s="27">
        <f>(1136.9-106.26+2.54)*10</f>
        <v>10331.800000000001</v>
      </c>
      <c r="I67" s="208"/>
      <c r="J67" s="208"/>
      <c r="L67" s="57"/>
      <c r="M67" s="57"/>
      <c r="T67" s="57"/>
    </row>
    <row r="68" spans="1:20" s="49" customFormat="1" ht="18" x14ac:dyDescent="0.5">
      <c r="A68" s="3" t="s">
        <v>51</v>
      </c>
      <c r="E68" s="27">
        <v>0</v>
      </c>
      <c r="F68" s="27"/>
      <c r="G68" s="27"/>
      <c r="H68" s="27">
        <v>0</v>
      </c>
      <c r="I68" s="209"/>
      <c r="J68" s="209"/>
      <c r="L68" s="124"/>
    </row>
    <row r="69" spans="1:20" s="49" customFormat="1" ht="17.399999999999999" thickBot="1" x14ac:dyDescent="0.5">
      <c r="A69" s="56" t="s">
        <v>52</v>
      </c>
      <c r="E69" s="142">
        <f>SUM(E67:E68)</f>
        <v>10331.800000000001</v>
      </c>
      <c r="F69" s="142"/>
      <c r="G69" s="142"/>
      <c r="H69" s="142">
        <f>SUM(H67:H68)</f>
        <v>10331.800000000001</v>
      </c>
      <c r="I69" s="207">
        <v>13495</v>
      </c>
      <c r="J69" s="207">
        <v>17129</v>
      </c>
      <c r="K69" s="27"/>
      <c r="L69" s="55">
        <f>I69*(1-YEARFRAC(I$64,L$64))+J69*YEARFRAC(I$64,L$64)</f>
        <v>13495</v>
      </c>
      <c r="M69" s="55">
        <f>J69*(1-YEARFRAC(J$64,M$64))+K69*YEARFRAC(J$64,M$64)</f>
        <v>17129</v>
      </c>
      <c r="O69" s="145">
        <f>IFERROR((K69/E69)^(1/3)-1,0)</f>
        <v>-1</v>
      </c>
    </row>
    <row r="70" spans="1:20" ht="18" x14ac:dyDescent="0.5">
      <c r="A70" s="3" t="s">
        <v>53</v>
      </c>
      <c r="E70" s="27">
        <f>94.89*10</f>
        <v>948.9</v>
      </c>
      <c r="F70" s="27"/>
      <c r="G70" s="27"/>
      <c r="H70" s="27">
        <f>94.89*10</f>
        <v>948.9</v>
      </c>
      <c r="I70" s="208"/>
      <c r="J70" s="208"/>
    </row>
    <row r="71" spans="1:20" s="49" customFormat="1" ht="17.399999999999999" thickBot="1" x14ac:dyDescent="0.5">
      <c r="A71" s="49" t="s">
        <v>54</v>
      </c>
      <c r="E71" s="142">
        <f>SUM(E69:E70)</f>
        <v>11280.7</v>
      </c>
      <c r="F71" s="142"/>
      <c r="G71" s="142"/>
      <c r="H71" s="142">
        <f>SUM(H69:H70)</f>
        <v>11280.7</v>
      </c>
      <c r="I71" s="207">
        <v>14591</v>
      </c>
      <c r="J71" s="207">
        <v>18648</v>
      </c>
      <c r="K71" s="27"/>
      <c r="L71" s="55">
        <f>I71*(1-YEARFRAC(I$64,L$64))+J71*YEARFRAC(I$64,L$64)</f>
        <v>14591</v>
      </c>
      <c r="M71" s="55">
        <f>J71*(1-YEARFRAC(J$64,M$64))+K71*YEARFRAC(J$64,M$64)</f>
        <v>18648</v>
      </c>
      <c r="O71" s="145">
        <f>IFERROR((K71/E71)^(1/3)-1,0)</f>
        <v>-1</v>
      </c>
    </row>
    <row r="72" spans="1:20" ht="6" customHeight="1" x14ac:dyDescent="0.5">
      <c r="E72" s="31"/>
      <c r="F72" s="31"/>
      <c r="G72" s="31"/>
      <c r="H72" s="31"/>
      <c r="I72" s="208"/>
      <c r="J72" s="208"/>
    </row>
    <row r="73" spans="1:20" ht="18" x14ac:dyDescent="0.5">
      <c r="A73" s="3" t="s">
        <v>167</v>
      </c>
      <c r="E73" s="27">
        <f>1427.01*10</f>
        <v>14270.1</v>
      </c>
      <c r="F73" s="27"/>
      <c r="G73" s="27"/>
      <c r="H73" s="27">
        <f>1427.01*10</f>
        <v>14270.1</v>
      </c>
      <c r="I73" s="208"/>
      <c r="J73" s="208"/>
    </row>
    <row r="74" spans="1:20" ht="18" x14ac:dyDescent="0.5">
      <c r="A74" s="3" t="s">
        <v>55</v>
      </c>
      <c r="E74" s="135">
        <f>E68</f>
        <v>0</v>
      </c>
      <c r="F74" s="135"/>
      <c r="G74" s="135"/>
      <c r="H74" s="135">
        <f>H68</f>
        <v>0</v>
      </c>
      <c r="I74" s="208"/>
      <c r="J74" s="208"/>
    </row>
    <row r="75" spans="1:20" ht="18" x14ac:dyDescent="0.5">
      <c r="A75" s="3" t="s">
        <v>56</v>
      </c>
      <c r="E75" s="27">
        <f>C92</f>
        <v>-6037.5000000000009</v>
      </c>
      <c r="F75" s="27"/>
      <c r="G75" s="27"/>
      <c r="H75" s="27">
        <f>C92</f>
        <v>-6037.5000000000009</v>
      </c>
      <c r="I75" s="208"/>
      <c r="J75" s="208"/>
    </row>
    <row r="76" spans="1:20" ht="18" x14ac:dyDescent="0.5">
      <c r="A76" s="3" t="s">
        <v>57</v>
      </c>
      <c r="E76" s="135">
        <f>D92</f>
        <v>175.940864</v>
      </c>
      <c r="F76" s="135"/>
      <c r="G76" s="135"/>
      <c r="H76" s="135">
        <f>D92</f>
        <v>175.940864</v>
      </c>
      <c r="I76" s="208"/>
      <c r="J76" s="208"/>
    </row>
    <row r="77" spans="1:20" s="49" customFormat="1" ht="17.399999999999999" thickBot="1" x14ac:dyDescent="0.5">
      <c r="A77" s="49" t="s">
        <v>120</v>
      </c>
      <c r="E77" s="143">
        <f>SUM(E73:E76)</f>
        <v>8408.5408639999987</v>
      </c>
      <c r="F77" s="143"/>
      <c r="G77" s="143"/>
      <c r="H77" s="143">
        <f>SUM(H73:H76)</f>
        <v>8408.5408639999987</v>
      </c>
      <c r="I77" s="207">
        <v>10637</v>
      </c>
      <c r="J77" s="207">
        <v>13625</v>
      </c>
      <c r="K77" s="27"/>
      <c r="L77" s="55">
        <f>I77*(1-YEARFRAC(I$64,L$64))+J77*YEARFRAC(I$64,L$64)</f>
        <v>10637</v>
      </c>
      <c r="M77" s="55">
        <f>J77*(1-YEARFRAC(J$64,M$64))+K77*YEARFRAC(J$64,M$64)</f>
        <v>13625</v>
      </c>
      <c r="O77" s="145">
        <f>IFERROR((K77/E77)^(1/3)-1,0)</f>
        <v>-1</v>
      </c>
    </row>
    <row r="78" spans="1:20" ht="18" x14ac:dyDescent="0.5">
      <c r="E78" s="31"/>
      <c r="F78" s="31"/>
      <c r="G78" s="31"/>
      <c r="H78" s="31"/>
      <c r="I78" s="208"/>
      <c r="J78" s="208"/>
    </row>
    <row r="79" spans="1:20" ht="18" x14ac:dyDescent="0.5">
      <c r="A79" s="3" t="s">
        <v>58</v>
      </c>
      <c r="E79" s="27">
        <f>E73/9.34</f>
        <v>1527.8479657387581</v>
      </c>
      <c r="F79" s="27"/>
      <c r="G79" s="27"/>
      <c r="H79" s="27">
        <f>H73/9.34</f>
        <v>1527.8479657387581</v>
      </c>
      <c r="I79" s="208"/>
      <c r="J79" s="208"/>
    </row>
    <row r="80" spans="1:20" ht="17.399999999999999" thickBot="1" x14ac:dyDescent="0.5">
      <c r="A80" s="3" t="s">
        <v>59</v>
      </c>
      <c r="E80" s="144">
        <f>E77/E79</f>
        <v>5.5035193635475563</v>
      </c>
      <c r="F80" s="144"/>
      <c r="G80" s="144"/>
      <c r="H80" s="144">
        <f>H77/H79</f>
        <v>5.5035193635475563</v>
      </c>
      <c r="I80" s="211">
        <v>7.0609999999999999</v>
      </c>
      <c r="J80" s="211">
        <v>9.1229999999999993</v>
      </c>
      <c r="K80" s="27"/>
      <c r="L80" s="55">
        <f>I80*(1-YEARFRAC(I$64,L$64))+J80*YEARFRAC(I$64,L$64)</f>
        <v>7.0609999999999999</v>
      </c>
      <c r="M80" s="55">
        <f>J80*(1-YEARFRAC(J$64,M$64))+K80*YEARFRAC(J$64,M$64)</f>
        <v>9.1229999999999993</v>
      </c>
      <c r="O80" s="145">
        <f>IFERROR((K80/E80)^(1/3)-1,0)</f>
        <v>-1</v>
      </c>
    </row>
    <row r="83" spans="1:4" x14ac:dyDescent="0.45">
      <c r="A83" s="56" t="s">
        <v>218</v>
      </c>
    </row>
    <row r="85" spans="1:4" x14ac:dyDescent="0.45">
      <c r="A85" s="56" t="s">
        <v>219</v>
      </c>
      <c r="C85" s="3" t="s">
        <v>227</v>
      </c>
    </row>
    <row r="86" spans="1:4" x14ac:dyDescent="0.45">
      <c r="C86" s="3" t="s">
        <v>220</v>
      </c>
      <c r="D86" s="3" t="s">
        <v>221</v>
      </c>
    </row>
    <row r="87" spans="1:4" x14ac:dyDescent="0.45">
      <c r="A87" s="3">
        <v>1</v>
      </c>
      <c r="B87" s="3" t="s">
        <v>222</v>
      </c>
      <c r="C87" s="3">
        <f>-18.59*10</f>
        <v>-185.9</v>
      </c>
      <c r="D87" s="3">
        <f>-(C87*$C$11)</f>
        <v>64.960896000000005</v>
      </c>
    </row>
    <row r="88" spans="1:4" x14ac:dyDescent="0.45">
      <c r="A88" s="3">
        <v>2</v>
      </c>
      <c r="B88" s="3" t="s">
        <v>223</v>
      </c>
      <c r="C88" s="3">
        <f>-5.54*10</f>
        <v>-55.4</v>
      </c>
      <c r="D88" s="3">
        <f t="shared" ref="D88:D90" si="5">-(C88*$C$11)</f>
        <v>19.358976000000002</v>
      </c>
    </row>
    <row r="89" spans="1:4" x14ac:dyDescent="0.45">
      <c r="A89" s="3">
        <v>3</v>
      </c>
      <c r="B89" s="3" t="s">
        <v>224</v>
      </c>
      <c r="C89" s="3">
        <f>-2.45*10</f>
        <v>-24.5</v>
      </c>
      <c r="D89" s="3">
        <f t="shared" si="5"/>
        <v>8.56128</v>
      </c>
    </row>
    <row r="90" spans="1:4" x14ac:dyDescent="0.45">
      <c r="A90" s="3">
        <v>4</v>
      </c>
      <c r="B90" s="3" t="s">
        <v>225</v>
      </c>
      <c r="C90" s="3">
        <f>-21.48*10</f>
        <v>-214.8</v>
      </c>
      <c r="D90" s="3">
        <f t="shared" si="5"/>
        <v>75.059712000000005</v>
      </c>
    </row>
    <row r="91" spans="1:4" x14ac:dyDescent="0.45">
      <c r="A91" s="3">
        <v>5</v>
      </c>
      <c r="B91" s="3" t="s">
        <v>226</v>
      </c>
      <c r="C91" s="3">
        <f>-555.69*10</f>
        <v>-5556.9000000000005</v>
      </c>
      <c r="D91" s="3">
        <f>0.8*10</f>
        <v>8</v>
      </c>
    </row>
    <row r="92" spans="1:4" x14ac:dyDescent="0.45">
      <c r="C92" s="3">
        <f>SUM(C87:C91)</f>
        <v>-6037.5000000000009</v>
      </c>
      <c r="D92" s="177">
        <f>SUM(D87:D91)</f>
        <v>175.940864</v>
      </c>
    </row>
  </sheetData>
  <mergeCells count="7">
    <mergeCell ref="L62:M62"/>
    <mergeCell ref="B37:I37"/>
    <mergeCell ref="C38:C39"/>
    <mergeCell ref="F38:H38"/>
    <mergeCell ref="E56:E57"/>
    <mergeCell ref="F56:F57"/>
    <mergeCell ref="I62:K62"/>
  </mergeCells>
  <pageMargins left="0.7" right="0.7" top="0.75" bottom="0.75" header="0.3" footer="0.3"/>
  <pageSetup paperSize="9" orientation="portrait" horizontalDpi="300"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Drop Down 1">
              <controlPr defaultSize="0" autoLine="0" autoPict="0">
                <anchor moveWithCells="1">
                  <from>
                    <xdr:col>6</xdr:col>
                    <xdr:colOff>30480</xdr:colOff>
                    <xdr:row>19</xdr:row>
                    <xdr:rowOff>0</xdr:rowOff>
                  </from>
                  <to>
                    <xdr:col>7</xdr:col>
                    <xdr:colOff>144780</xdr:colOff>
                    <xdr:row>20</xdr:row>
                    <xdr:rowOff>7620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80"/>
  <sheetViews>
    <sheetView showGridLines="0" topLeftCell="E55" zoomScale="125" zoomScaleNormal="100" workbookViewId="0">
      <selection activeCell="M71" sqref="M71"/>
    </sheetView>
  </sheetViews>
  <sheetFormatPr defaultColWidth="11.44140625" defaultRowHeight="16.8" x14ac:dyDescent="0.45"/>
  <cols>
    <col min="1" max="1" width="3.21875" style="3" customWidth="1"/>
    <col min="2" max="2" width="33.77734375" style="3" customWidth="1"/>
    <col min="3" max="3" width="11.44140625" style="3"/>
    <col min="4" max="4" width="10.77734375" style="3" bestFit="1" customWidth="1"/>
    <col min="5" max="5" width="10.77734375" style="3" customWidth="1"/>
    <col min="6" max="7" width="11.21875" style="3" bestFit="1" customWidth="1"/>
    <col min="8" max="8" width="14" style="3" customWidth="1"/>
    <col min="9" max="9" width="13" style="3" customWidth="1"/>
    <col min="10" max="10" width="11.77734375" style="3" bestFit="1" customWidth="1"/>
    <col min="11" max="11" width="12" style="3" bestFit="1" customWidth="1"/>
    <col min="12" max="12" width="11.44140625" style="3"/>
    <col min="13" max="13" width="12" style="3" bestFit="1" customWidth="1"/>
    <col min="14" max="14" width="10.44140625" style="3" customWidth="1"/>
    <col min="15" max="15" width="11.77734375" style="3" bestFit="1" customWidth="1"/>
    <col min="16" max="16" width="11.21875" style="3" bestFit="1" customWidth="1"/>
    <col min="17" max="18" width="11.44140625" style="3"/>
    <col min="19" max="19" width="2.21875" style="3" customWidth="1"/>
    <col min="20" max="255" width="11.44140625" style="3"/>
    <col min="256" max="256" width="3.21875" style="3" customWidth="1"/>
    <col min="257" max="257" width="33.77734375" style="3" customWidth="1"/>
    <col min="258" max="258" width="11.44140625" style="3"/>
    <col min="259" max="259" width="10.77734375" style="3" bestFit="1" customWidth="1"/>
    <col min="260" max="260" width="10.77734375" style="3" customWidth="1"/>
    <col min="261" max="261" width="11.21875" style="3" bestFit="1" customWidth="1"/>
    <col min="262" max="262" width="11.44140625" style="3"/>
    <col min="263" max="263" width="12.44140625" style="3" customWidth="1"/>
    <col min="264" max="264" width="11.44140625" style="3"/>
    <col min="265" max="265" width="9.77734375" style="3" bestFit="1" customWidth="1"/>
    <col min="266" max="266" width="12" style="3" bestFit="1" customWidth="1"/>
    <col min="267" max="267" width="11.44140625" style="3"/>
    <col min="268" max="268" width="12" style="3" bestFit="1" customWidth="1"/>
    <col min="269" max="269" width="10.44140625" style="3" customWidth="1"/>
    <col min="270" max="270" width="11.77734375" style="3" bestFit="1" customWidth="1"/>
    <col min="271" max="271" width="11.21875" style="3" bestFit="1" customWidth="1"/>
    <col min="272" max="274" width="11.44140625" style="3"/>
    <col min="275" max="275" width="2.21875" style="3" customWidth="1"/>
    <col min="276" max="511" width="11.44140625" style="3"/>
    <col min="512" max="512" width="3.21875" style="3" customWidth="1"/>
    <col min="513" max="513" width="33.77734375" style="3" customWidth="1"/>
    <col min="514" max="514" width="11.44140625" style="3"/>
    <col min="515" max="515" width="10.77734375" style="3" bestFit="1" customWidth="1"/>
    <col min="516" max="516" width="10.77734375" style="3" customWidth="1"/>
    <col min="517" max="517" width="11.21875" style="3" bestFit="1" customWidth="1"/>
    <col min="518" max="518" width="11.44140625" style="3"/>
    <col min="519" max="519" width="12.44140625" style="3" customWidth="1"/>
    <col min="520" max="520" width="11.44140625" style="3"/>
    <col min="521" max="521" width="9.77734375" style="3" bestFit="1" customWidth="1"/>
    <col min="522" max="522" width="12" style="3" bestFit="1" customWidth="1"/>
    <col min="523" max="523" width="11.44140625" style="3"/>
    <col min="524" max="524" width="12" style="3" bestFit="1" customWidth="1"/>
    <col min="525" max="525" width="10.44140625" style="3" customWidth="1"/>
    <col min="526" max="526" width="11.77734375" style="3" bestFit="1" customWidth="1"/>
    <col min="527" max="527" width="11.21875" style="3" bestFit="1" customWidth="1"/>
    <col min="528" max="530" width="11.44140625" style="3"/>
    <col min="531" max="531" width="2.21875" style="3" customWidth="1"/>
    <col min="532" max="767" width="11.44140625" style="3"/>
    <col min="768" max="768" width="3.21875" style="3" customWidth="1"/>
    <col min="769" max="769" width="33.77734375" style="3" customWidth="1"/>
    <col min="770" max="770" width="11.44140625" style="3"/>
    <col min="771" max="771" width="10.77734375" style="3" bestFit="1" customWidth="1"/>
    <col min="772" max="772" width="10.77734375" style="3" customWidth="1"/>
    <col min="773" max="773" width="11.21875" style="3" bestFit="1" customWidth="1"/>
    <col min="774" max="774" width="11.44140625" style="3"/>
    <col min="775" max="775" width="12.44140625" style="3" customWidth="1"/>
    <col min="776" max="776" width="11.44140625" style="3"/>
    <col min="777" max="777" width="9.77734375" style="3" bestFit="1" customWidth="1"/>
    <col min="778" max="778" width="12" style="3" bestFit="1" customWidth="1"/>
    <col min="779" max="779" width="11.44140625" style="3"/>
    <col min="780" max="780" width="12" style="3" bestFit="1" customWidth="1"/>
    <col min="781" max="781" width="10.44140625" style="3" customWidth="1"/>
    <col min="782" max="782" width="11.77734375" style="3" bestFit="1" customWidth="1"/>
    <col min="783" max="783" width="11.21875" style="3" bestFit="1" customWidth="1"/>
    <col min="784" max="786" width="11.44140625" style="3"/>
    <col min="787" max="787" width="2.21875" style="3" customWidth="1"/>
    <col min="788" max="1023" width="11.44140625" style="3"/>
    <col min="1024" max="1024" width="3.21875" style="3" customWidth="1"/>
    <col min="1025" max="1025" width="33.77734375" style="3" customWidth="1"/>
    <col min="1026" max="1026" width="11.44140625" style="3"/>
    <col min="1027" max="1027" width="10.77734375" style="3" bestFit="1" customWidth="1"/>
    <col min="1028" max="1028" width="10.77734375" style="3" customWidth="1"/>
    <col min="1029" max="1029" width="11.21875" style="3" bestFit="1" customWidth="1"/>
    <col min="1030" max="1030" width="11.44140625" style="3"/>
    <col min="1031" max="1031" width="12.44140625" style="3" customWidth="1"/>
    <col min="1032" max="1032" width="11.44140625" style="3"/>
    <col min="1033" max="1033" width="9.77734375" style="3" bestFit="1" customWidth="1"/>
    <col min="1034" max="1034" width="12" style="3" bestFit="1" customWidth="1"/>
    <col min="1035" max="1035" width="11.44140625" style="3"/>
    <col min="1036" max="1036" width="12" style="3" bestFit="1" customWidth="1"/>
    <col min="1037" max="1037" width="10.44140625" style="3" customWidth="1"/>
    <col min="1038" max="1038" width="11.77734375" style="3" bestFit="1" customWidth="1"/>
    <col min="1039" max="1039" width="11.21875" style="3" bestFit="1" customWidth="1"/>
    <col min="1040" max="1042" width="11.44140625" style="3"/>
    <col min="1043" max="1043" width="2.21875" style="3" customWidth="1"/>
    <col min="1044" max="1279" width="11.44140625" style="3"/>
    <col min="1280" max="1280" width="3.21875" style="3" customWidth="1"/>
    <col min="1281" max="1281" width="33.77734375" style="3" customWidth="1"/>
    <col min="1282" max="1282" width="11.44140625" style="3"/>
    <col min="1283" max="1283" width="10.77734375" style="3" bestFit="1" customWidth="1"/>
    <col min="1284" max="1284" width="10.77734375" style="3" customWidth="1"/>
    <col min="1285" max="1285" width="11.21875" style="3" bestFit="1" customWidth="1"/>
    <col min="1286" max="1286" width="11.44140625" style="3"/>
    <col min="1287" max="1287" width="12.44140625" style="3" customWidth="1"/>
    <col min="1288" max="1288" width="11.44140625" style="3"/>
    <col min="1289" max="1289" width="9.77734375" style="3" bestFit="1" customWidth="1"/>
    <col min="1290" max="1290" width="12" style="3" bestFit="1" customWidth="1"/>
    <col min="1291" max="1291" width="11.44140625" style="3"/>
    <col min="1292" max="1292" width="12" style="3" bestFit="1" customWidth="1"/>
    <col min="1293" max="1293" width="10.44140625" style="3" customWidth="1"/>
    <col min="1294" max="1294" width="11.77734375" style="3" bestFit="1" customWidth="1"/>
    <col min="1295" max="1295" width="11.21875" style="3" bestFit="1" customWidth="1"/>
    <col min="1296" max="1298" width="11.44140625" style="3"/>
    <col min="1299" max="1299" width="2.21875" style="3" customWidth="1"/>
    <col min="1300" max="1535" width="11.44140625" style="3"/>
    <col min="1536" max="1536" width="3.21875" style="3" customWidth="1"/>
    <col min="1537" max="1537" width="33.77734375" style="3" customWidth="1"/>
    <col min="1538" max="1538" width="11.44140625" style="3"/>
    <col min="1539" max="1539" width="10.77734375" style="3" bestFit="1" customWidth="1"/>
    <col min="1540" max="1540" width="10.77734375" style="3" customWidth="1"/>
    <col min="1541" max="1541" width="11.21875" style="3" bestFit="1" customWidth="1"/>
    <col min="1542" max="1542" width="11.44140625" style="3"/>
    <col min="1543" max="1543" width="12.44140625" style="3" customWidth="1"/>
    <col min="1544" max="1544" width="11.44140625" style="3"/>
    <col min="1545" max="1545" width="9.77734375" style="3" bestFit="1" customWidth="1"/>
    <col min="1546" max="1546" width="12" style="3" bestFit="1" customWidth="1"/>
    <col min="1547" max="1547" width="11.44140625" style="3"/>
    <col min="1548" max="1548" width="12" style="3" bestFit="1" customWidth="1"/>
    <col min="1549" max="1549" width="10.44140625" style="3" customWidth="1"/>
    <col min="1550" max="1550" width="11.77734375" style="3" bestFit="1" customWidth="1"/>
    <col min="1551" max="1551" width="11.21875" style="3" bestFit="1" customWidth="1"/>
    <col min="1552" max="1554" width="11.44140625" style="3"/>
    <col min="1555" max="1555" width="2.21875" style="3" customWidth="1"/>
    <col min="1556" max="1791" width="11.44140625" style="3"/>
    <col min="1792" max="1792" width="3.21875" style="3" customWidth="1"/>
    <col min="1793" max="1793" width="33.77734375" style="3" customWidth="1"/>
    <col min="1794" max="1794" width="11.44140625" style="3"/>
    <col min="1795" max="1795" width="10.77734375" style="3" bestFit="1" customWidth="1"/>
    <col min="1796" max="1796" width="10.77734375" style="3" customWidth="1"/>
    <col min="1797" max="1797" width="11.21875" style="3" bestFit="1" customWidth="1"/>
    <col min="1798" max="1798" width="11.44140625" style="3"/>
    <col min="1799" max="1799" width="12.44140625" style="3" customWidth="1"/>
    <col min="1800" max="1800" width="11.44140625" style="3"/>
    <col min="1801" max="1801" width="9.77734375" style="3" bestFit="1" customWidth="1"/>
    <col min="1802" max="1802" width="12" style="3" bestFit="1" customWidth="1"/>
    <col min="1803" max="1803" width="11.44140625" style="3"/>
    <col min="1804" max="1804" width="12" style="3" bestFit="1" customWidth="1"/>
    <col min="1805" max="1805" width="10.44140625" style="3" customWidth="1"/>
    <col min="1806" max="1806" width="11.77734375" style="3" bestFit="1" customWidth="1"/>
    <col min="1807" max="1807" width="11.21875" style="3" bestFit="1" customWidth="1"/>
    <col min="1808" max="1810" width="11.44140625" style="3"/>
    <col min="1811" max="1811" width="2.21875" style="3" customWidth="1"/>
    <col min="1812" max="2047" width="11.44140625" style="3"/>
    <col min="2048" max="2048" width="3.21875" style="3" customWidth="1"/>
    <col min="2049" max="2049" width="33.77734375" style="3" customWidth="1"/>
    <col min="2050" max="2050" width="11.44140625" style="3"/>
    <col min="2051" max="2051" width="10.77734375" style="3" bestFit="1" customWidth="1"/>
    <col min="2052" max="2052" width="10.77734375" style="3" customWidth="1"/>
    <col min="2053" max="2053" width="11.21875" style="3" bestFit="1" customWidth="1"/>
    <col min="2054" max="2054" width="11.44140625" style="3"/>
    <col min="2055" max="2055" width="12.44140625" style="3" customWidth="1"/>
    <col min="2056" max="2056" width="11.44140625" style="3"/>
    <col min="2057" max="2057" width="9.77734375" style="3" bestFit="1" customWidth="1"/>
    <col min="2058" max="2058" width="12" style="3" bestFit="1" customWidth="1"/>
    <col min="2059" max="2059" width="11.44140625" style="3"/>
    <col min="2060" max="2060" width="12" style="3" bestFit="1" customWidth="1"/>
    <col min="2061" max="2061" width="10.44140625" style="3" customWidth="1"/>
    <col min="2062" max="2062" width="11.77734375" style="3" bestFit="1" customWidth="1"/>
    <col min="2063" max="2063" width="11.21875" style="3" bestFit="1" customWidth="1"/>
    <col min="2064" max="2066" width="11.44140625" style="3"/>
    <col min="2067" max="2067" width="2.21875" style="3" customWidth="1"/>
    <col min="2068" max="2303" width="11.44140625" style="3"/>
    <col min="2304" max="2304" width="3.21875" style="3" customWidth="1"/>
    <col min="2305" max="2305" width="33.77734375" style="3" customWidth="1"/>
    <col min="2306" max="2306" width="11.44140625" style="3"/>
    <col min="2307" max="2307" width="10.77734375" style="3" bestFit="1" customWidth="1"/>
    <col min="2308" max="2308" width="10.77734375" style="3" customWidth="1"/>
    <col min="2309" max="2309" width="11.21875" style="3" bestFit="1" customWidth="1"/>
    <col min="2310" max="2310" width="11.44140625" style="3"/>
    <col min="2311" max="2311" width="12.44140625" style="3" customWidth="1"/>
    <col min="2312" max="2312" width="11.44140625" style="3"/>
    <col min="2313" max="2313" width="9.77734375" style="3" bestFit="1" customWidth="1"/>
    <col min="2314" max="2314" width="12" style="3" bestFit="1" customWidth="1"/>
    <col min="2315" max="2315" width="11.44140625" style="3"/>
    <col min="2316" max="2316" width="12" style="3" bestFit="1" customWidth="1"/>
    <col min="2317" max="2317" width="10.44140625" style="3" customWidth="1"/>
    <col min="2318" max="2318" width="11.77734375" style="3" bestFit="1" customWidth="1"/>
    <col min="2319" max="2319" width="11.21875" style="3" bestFit="1" customWidth="1"/>
    <col min="2320" max="2322" width="11.44140625" style="3"/>
    <col min="2323" max="2323" width="2.21875" style="3" customWidth="1"/>
    <col min="2324" max="2559" width="11.44140625" style="3"/>
    <col min="2560" max="2560" width="3.21875" style="3" customWidth="1"/>
    <col min="2561" max="2561" width="33.77734375" style="3" customWidth="1"/>
    <col min="2562" max="2562" width="11.44140625" style="3"/>
    <col min="2563" max="2563" width="10.77734375" style="3" bestFit="1" customWidth="1"/>
    <col min="2564" max="2564" width="10.77734375" style="3" customWidth="1"/>
    <col min="2565" max="2565" width="11.21875" style="3" bestFit="1" customWidth="1"/>
    <col min="2566" max="2566" width="11.44140625" style="3"/>
    <col min="2567" max="2567" width="12.44140625" style="3" customWidth="1"/>
    <col min="2568" max="2568" width="11.44140625" style="3"/>
    <col min="2569" max="2569" width="9.77734375" style="3" bestFit="1" customWidth="1"/>
    <col min="2570" max="2570" width="12" style="3" bestFit="1" customWidth="1"/>
    <col min="2571" max="2571" width="11.44140625" style="3"/>
    <col min="2572" max="2572" width="12" style="3" bestFit="1" customWidth="1"/>
    <col min="2573" max="2573" width="10.44140625" style="3" customWidth="1"/>
    <col min="2574" max="2574" width="11.77734375" style="3" bestFit="1" customWidth="1"/>
    <col min="2575" max="2575" width="11.21875" style="3" bestFit="1" customWidth="1"/>
    <col min="2576" max="2578" width="11.44140625" style="3"/>
    <col min="2579" max="2579" width="2.21875" style="3" customWidth="1"/>
    <col min="2580" max="2815" width="11.44140625" style="3"/>
    <col min="2816" max="2816" width="3.21875" style="3" customWidth="1"/>
    <col min="2817" max="2817" width="33.77734375" style="3" customWidth="1"/>
    <col min="2818" max="2818" width="11.44140625" style="3"/>
    <col min="2819" max="2819" width="10.77734375" style="3" bestFit="1" customWidth="1"/>
    <col min="2820" max="2820" width="10.77734375" style="3" customWidth="1"/>
    <col min="2821" max="2821" width="11.21875" style="3" bestFit="1" customWidth="1"/>
    <col min="2822" max="2822" width="11.44140625" style="3"/>
    <col min="2823" max="2823" width="12.44140625" style="3" customWidth="1"/>
    <col min="2824" max="2824" width="11.44140625" style="3"/>
    <col min="2825" max="2825" width="9.77734375" style="3" bestFit="1" customWidth="1"/>
    <col min="2826" max="2826" width="12" style="3" bestFit="1" customWidth="1"/>
    <col min="2827" max="2827" width="11.44140625" style="3"/>
    <col min="2828" max="2828" width="12" style="3" bestFit="1" customWidth="1"/>
    <col min="2829" max="2829" width="10.44140625" style="3" customWidth="1"/>
    <col min="2830" max="2830" width="11.77734375" style="3" bestFit="1" customWidth="1"/>
    <col min="2831" max="2831" width="11.21875" style="3" bestFit="1" customWidth="1"/>
    <col min="2832" max="2834" width="11.44140625" style="3"/>
    <col min="2835" max="2835" width="2.21875" style="3" customWidth="1"/>
    <col min="2836" max="3071" width="11.44140625" style="3"/>
    <col min="3072" max="3072" width="3.21875" style="3" customWidth="1"/>
    <col min="3073" max="3073" width="33.77734375" style="3" customWidth="1"/>
    <col min="3074" max="3074" width="11.44140625" style="3"/>
    <col min="3075" max="3075" width="10.77734375" style="3" bestFit="1" customWidth="1"/>
    <col min="3076" max="3076" width="10.77734375" style="3" customWidth="1"/>
    <col min="3077" max="3077" width="11.21875" style="3" bestFit="1" customWidth="1"/>
    <col min="3078" max="3078" width="11.44140625" style="3"/>
    <col min="3079" max="3079" width="12.44140625" style="3" customWidth="1"/>
    <col min="3080" max="3080" width="11.44140625" style="3"/>
    <col min="3081" max="3081" width="9.77734375" style="3" bestFit="1" customWidth="1"/>
    <col min="3082" max="3082" width="12" style="3" bestFit="1" customWidth="1"/>
    <col min="3083" max="3083" width="11.44140625" style="3"/>
    <col min="3084" max="3084" width="12" style="3" bestFit="1" customWidth="1"/>
    <col min="3085" max="3085" width="10.44140625" style="3" customWidth="1"/>
    <col min="3086" max="3086" width="11.77734375" style="3" bestFit="1" customWidth="1"/>
    <col min="3087" max="3087" width="11.21875" style="3" bestFit="1" customWidth="1"/>
    <col min="3088" max="3090" width="11.44140625" style="3"/>
    <col min="3091" max="3091" width="2.21875" style="3" customWidth="1"/>
    <col min="3092" max="3327" width="11.44140625" style="3"/>
    <col min="3328" max="3328" width="3.21875" style="3" customWidth="1"/>
    <col min="3329" max="3329" width="33.77734375" style="3" customWidth="1"/>
    <col min="3330" max="3330" width="11.44140625" style="3"/>
    <col min="3331" max="3331" width="10.77734375" style="3" bestFit="1" customWidth="1"/>
    <col min="3332" max="3332" width="10.77734375" style="3" customWidth="1"/>
    <col min="3333" max="3333" width="11.21875" style="3" bestFit="1" customWidth="1"/>
    <col min="3334" max="3334" width="11.44140625" style="3"/>
    <col min="3335" max="3335" width="12.44140625" style="3" customWidth="1"/>
    <col min="3336" max="3336" width="11.44140625" style="3"/>
    <col min="3337" max="3337" width="9.77734375" style="3" bestFit="1" customWidth="1"/>
    <col min="3338" max="3338" width="12" style="3" bestFit="1" customWidth="1"/>
    <col min="3339" max="3339" width="11.44140625" style="3"/>
    <col min="3340" max="3340" width="12" style="3" bestFit="1" customWidth="1"/>
    <col min="3341" max="3341" width="10.44140625" style="3" customWidth="1"/>
    <col min="3342" max="3342" width="11.77734375" style="3" bestFit="1" customWidth="1"/>
    <col min="3343" max="3343" width="11.21875" style="3" bestFit="1" customWidth="1"/>
    <col min="3344" max="3346" width="11.44140625" style="3"/>
    <col min="3347" max="3347" width="2.21875" style="3" customWidth="1"/>
    <col min="3348" max="3583" width="11.44140625" style="3"/>
    <col min="3584" max="3584" width="3.21875" style="3" customWidth="1"/>
    <col min="3585" max="3585" width="33.77734375" style="3" customWidth="1"/>
    <col min="3586" max="3586" width="11.44140625" style="3"/>
    <col min="3587" max="3587" width="10.77734375" style="3" bestFit="1" customWidth="1"/>
    <col min="3588" max="3588" width="10.77734375" style="3" customWidth="1"/>
    <col min="3589" max="3589" width="11.21875" style="3" bestFit="1" customWidth="1"/>
    <col min="3590" max="3590" width="11.44140625" style="3"/>
    <col min="3591" max="3591" width="12.44140625" style="3" customWidth="1"/>
    <col min="3592" max="3592" width="11.44140625" style="3"/>
    <col min="3593" max="3593" width="9.77734375" style="3" bestFit="1" customWidth="1"/>
    <col min="3594" max="3594" width="12" style="3" bestFit="1" customWidth="1"/>
    <col min="3595" max="3595" width="11.44140625" style="3"/>
    <col min="3596" max="3596" width="12" style="3" bestFit="1" customWidth="1"/>
    <col min="3597" max="3597" width="10.44140625" style="3" customWidth="1"/>
    <col min="3598" max="3598" width="11.77734375" style="3" bestFit="1" customWidth="1"/>
    <col min="3599" max="3599" width="11.21875" style="3" bestFit="1" customWidth="1"/>
    <col min="3600" max="3602" width="11.44140625" style="3"/>
    <col min="3603" max="3603" width="2.21875" style="3" customWidth="1"/>
    <col min="3604" max="3839" width="11.44140625" style="3"/>
    <col min="3840" max="3840" width="3.21875" style="3" customWidth="1"/>
    <col min="3841" max="3841" width="33.77734375" style="3" customWidth="1"/>
    <col min="3842" max="3842" width="11.44140625" style="3"/>
    <col min="3843" max="3843" width="10.77734375" style="3" bestFit="1" customWidth="1"/>
    <col min="3844" max="3844" width="10.77734375" style="3" customWidth="1"/>
    <col min="3845" max="3845" width="11.21875" style="3" bestFit="1" customWidth="1"/>
    <col min="3846" max="3846" width="11.44140625" style="3"/>
    <col min="3847" max="3847" width="12.44140625" style="3" customWidth="1"/>
    <col min="3848" max="3848" width="11.44140625" style="3"/>
    <col min="3849" max="3849" width="9.77734375" style="3" bestFit="1" customWidth="1"/>
    <col min="3850" max="3850" width="12" style="3" bestFit="1" customWidth="1"/>
    <col min="3851" max="3851" width="11.44140625" style="3"/>
    <col min="3852" max="3852" width="12" style="3" bestFit="1" customWidth="1"/>
    <col min="3853" max="3853" width="10.44140625" style="3" customWidth="1"/>
    <col min="3854" max="3854" width="11.77734375" style="3" bestFit="1" customWidth="1"/>
    <col min="3855" max="3855" width="11.21875" style="3" bestFit="1" customWidth="1"/>
    <col min="3856" max="3858" width="11.44140625" style="3"/>
    <col min="3859" max="3859" width="2.21875" style="3" customWidth="1"/>
    <col min="3860" max="4095" width="11.44140625" style="3"/>
    <col min="4096" max="4096" width="3.21875" style="3" customWidth="1"/>
    <col min="4097" max="4097" width="33.77734375" style="3" customWidth="1"/>
    <col min="4098" max="4098" width="11.44140625" style="3"/>
    <col min="4099" max="4099" width="10.77734375" style="3" bestFit="1" customWidth="1"/>
    <col min="4100" max="4100" width="10.77734375" style="3" customWidth="1"/>
    <col min="4101" max="4101" width="11.21875" style="3" bestFit="1" customWidth="1"/>
    <col min="4102" max="4102" width="11.44140625" style="3"/>
    <col min="4103" max="4103" width="12.44140625" style="3" customWidth="1"/>
    <col min="4104" max="4104" width="11.44140625" style="3"/>
    <col min="4105" max="4105" width="9.77734375" style="3" bestFit="1" customWidth="1"/>
    <col min="4106" max="4106" width="12" style="3" bestFit="1" customWidth="1"/>
    <col min="4107" max="4107" width="11.44140625" style="3"/>
    <col min="4108" max="4108" width="12" style="3" bestFit="1" customWidth="1"/>
    <col min="4109" max="4109" width="10.44140625" style="3" customWidth="1"/>
    <col min="4110" max="4110" width="11.77734375" style="3" bestFit="1" customWidth="1"/>
    <col min="4111" max="4111" width="11.21875" style="3" bestFit="1" customWidth="1"/>
    <col min="4112" max="4114" width="11.44140625" style="3"/>
    <col min="4115" max="4115" width="2.21875" style="3" customWidth="1"/>
    <col min="4116" max="4351" width="11.44140625" style="3"/>
    <col min="4352" max="4352" width="3.21875" style="3" customWidth="1"/>
    <col min="4353" max="4353" width="33.77734375" style="3" customWidth="1"/>
    <col min="4354" max="4354" width="11.44140625" style="3"/>
    <col min="4355" max="4355" width="10.77734375" style="3" bestFit="1" customWidth="1"/>
    <col min="4356" max="4356" width="10.77734375" style="3" customWidth="1"/>
    <col min="4357" max="4357" width="11.21875" style="3" bestFit="1" customWidth="1"/>
    <col min="4358" max="4358" width="11.44140625" style="3"/>
    <col min="4359" max="4359" width="12.44140625" style="3" customWidth="1"/>
    <col min="4360" max="4360" width="11.44140625" style="3"/>
    <col min="4361" max="4361" width="9.77734375" style="3" bestFit="1" customWidth="1"/>
    <col min="4362" max="4362" width="12" style="3" bestFit="1" customWidth="1"/>
    <col min="4363" max="4363" width="11.44140625" style="3"/>
    <col min="4364" max="4364" width="12" style="3" bestFit="1" customWidth="1"/>
    <col min="4365" max="4365" width="10.44140625" style="3" customWidth="1"/>
    <col min="4366" max="4366" width="11.77734375" style="3" bestFit="1" customWidth="1"/>
    <col min="4367" max="4367" width="11.21875" style="3" bestFit="1" customWidth="1"/>
    <col min="4368" max="4370" width="11.44140625" style="3"/>
    <col min="4371" max="4371" width="2.21875" style="3" customWidth="1"/>
    <col min="4372" max="4607" width="11.44140625" style="3"/>
    <col min="4608" max="4608" width="3.21875" style="3" customWidth="1"/>
    <col min="4609" max="4609" width="33.77734375" style="3" customWidth="1"/>
    <col min="4610" max="4610" width="11.44140625" style="3"/>
    <col min="4611" max="4611" width="10.77734375" style="3" bestFit="1" customWidth="1"/>
    <col min="4612" max="4612" width="10.77734375" style="3" customWidth="1"/>
    <col min="4613" max="4613" width="11.21875" style="3" bestFit="1" customWidth="1"/>
    <col min="4614" max="4614" width="11.44140625" style="3"/>
    <col min="4615" max="4615" width="12.44140625" style="3" customWidth="1"/>
    <col min="4616" max="4616" width="11.44140625" style="3"/>
    <col min="4617" max="4617" width="9.77734375" style="3" bestFit="1" customWidth="1"/>
    <col min="4618" max="4618" width="12" style="3" bestFit="1" customWidth="1"/>
    <col min="4619" max="4619" width="11.44140625" style="3"/>
    <col min="4620" max="4620" width="12" style="3" bestFit="1" customWidth="1"/>
    <col min="4621" max="4621" width="10.44140625" style="3" customWidth="1"/>
    <col min="4622" max="4622" width="11.77734375" style="3" bestFit="1" customWidth="1"/>
    <col min="4623" max="4623" width="11.21875" style="3" bestFit="1" customWidth="1"/>
    <col min="4624" max="4626" width="11.44140625" style="3"/>
    <col min="4627" max="4627" width="2.21875" style="3" customWidth="1"/>
    <col min="4628" max="4863" width="11.44140625" style="3"/>
    <col min="4864" max="4864" width="3.21875" style="3" customWidth="1"/>
    <col min="4865" max="4865" width="33.77734375" style="3" customWidth="1"/>
    <col min="4866" max="4866" width="11.44140625" style="3"/>
    <col min="4867" max="4867" width="10.77734375" style="3" bestFit="1" customWidth="1"/>
    <col min="4868" max="4868" width="10.77734375" style="3" customWidth="1"/>
    <col min="4869" max="4869" width="11.21875" style="3" bestFit="1" customWidth="1"/>
    <col min="4870" max="4870" width="11.44140625" style="3"/>
    <col min="4871" max="4871" width="12.44140625" style="3" customWidth="1"/>
    <col min="4872" max="4872" width="11.44140625" style="3"/>
    <col min="4873" max="4873" width="9.77734375" style="3" bestFit="1" customWidth="1"/>
    <col min="4874" max="4874" width="12" style="3" bestFit="1" customWidth="1"/>
    <col min="4875" max="4875" width="11.44140625" style="3"/>
    <col min="4876" max="4876" width="12" style="3" bestFit="1" customWidth="1"/>
    <col min="4877" max="4877" width="10.44140625" style="3" customWidth="1"/>
    <col min="4878" max="4878" width="11.77734375" style="3" bestFit="1" customWidth="1"/>
    <col min="4879" max="4879" width="11.21875" style="3" bestFit="1" customWidth="1"/>
    <col min="4880" max="4882" width="11.44140625" style="3"/>
    <col min="4883" max="4883" width="2.21875" style="3" customWidth="1"/>
    <col min="4884" max="5119" width="11.44140625" style="3"/>
    <col min="5120" max="5120" width="3.21875" style="3" customWidth="1"/>
    <col min="5121" max="5121" width="33.77734375" style="3" customWidth="1"/>
    <col min="5122" max="5122" width="11.44140625" style="3"/>
    <col min="5123" max="5123" width="10.77734375" style="3" bestFit="1" customWidth="1"/>
    <col min="5124" max="5124" width="10.77734375" style="3" customWidth="1"/>
    <col min="5125" max="5125" width="11.21875" style="3" bestFit="1" customWidth="1"/>
    <col min="5126" max="5126" width="11.44140625" style="3"/>
    <col min="5127" max="5127" width="12.44140625" style="3" customWidth="1"/>
    <col min="5128" max="5128" width="11.44140625" style="3"/>
    <col min="5129" max="5129" width="9.77734375" style="3" bestFit="1" customWidth="1"/>
    <col min="5130" max="5130" width="12" style="3" bestFit="1" customWidth="1"/>
    <col min="5131" max="5131" width="11.44140625" style="3"/>
    <col min="5132" max="5132" width="12" style="3" bestFit="1" customWidth="1"/>
    <col min="5133" max="5133" width="10.44140625" style="3" customWidth="1"/>
    <col min="5134" max="5134" width="11.77734375" style="3" bestFit="1" customWidth="1"/>
    <col min="5135" max="5135" width="11.21875" style="3" bestFit="1" customWidth="1"/>
    <col min="5136" max="5138" width="11.44140625" style="3"/>
    <col min="5139" max="5139" width="2.21875" style="3" customWidth="1"/>
    <col min="5140" max="5375" width="11.44140625" style="3"/>
    <col min="5376" max="5376" width="3.21875" style="3" customWidth="1"/>
    <col min="5377" max="5377" width="33.77734375" style="3" customWidth="1"/>
    <col min="5378" max="5378" width="11.44140625" style="3"/>
    <col min="5379" max="5379" width="10.77734375" style="3" bestFit="1" customWidth="1"/>
    <col min="5380" max="5380" width="10.77734375" style="3" customWidth="1"/>
    <col min="5381" max="5381" width="11.21875" style="3" bestFit="1" customWidth="1"/>
    <col min="5382" max="5382" width="11.44140625" style="3"/>
    <col min="5383" max="5383" width="12.44140625" style="3" customWidth="1"/>
    <col min="5384" max="5384" width="11.44140625" style="3"/>
    <col min="5385" max="5385" width="9.77734375" style="3" bestFit="1" customWidth="1"/>
    <col min="5386" max="5386" width="12" style="3" bestFit="1" customWidth="1"/>
    <col min="5387" max="5387" width="11.44140625" style="3"/>
    <col min="5388" max="5388" width="12" style="3" bestFit="1" customWidth="1"/>
    <col min="5389" max="5389" width="10.44140625" style="3" customWidth="1"/>
    <col min="5390" max="5390" width="11.77734375" style="3" bestFit="1" customWidth="1"/>
    <col min="5391" max="5391" width="11.21875" style="3" bestFit="1" customWidth="1"/>
    <col min="5392" max="5394" width="11.44140625" style="3"/>
    <col min="5395" max="5395" width="2.21875" style="3" customWidth="1"/>
    <col min="5396" max="5631" width="11.44140625" style="3"/>
    <col min="5632" max="5632" width="3.21875" style="3" customWidth="1"/>
    <col min="5633" max="5633" width="33.77734375" style="3" customWidth="1"/>
    <col min="5634" max="5634" width="11.44140625" style="3"/>
    <col min="5635" max="5635" width="10.77734375" style="3" bestFit="1" customWidth="1"/>
    <col min="5636" max="5636" width="10.77734375" style="3" customWidth="1"/>
    <col min="5637" max="5637" width="11.21875" style="3" bestFit="1" customWidth="1"/>
    <col min="5638" max="5638" width="11.44140625" style="3"/>
    <col min="5639" max="5639" width="12.44140625" style="3" customWidth="1"/>
    <col min="5640" max="5640" width="11.44140625" style="3"/>
    <col min="5641" max="5641" width="9.77734375" style="3" bestFit="1" customWidth="1"/>
    <col min="5642" max="5642" width="12" style="3" bestFit="1" customWidth="1"/>
    <col min="5643" max="5643" width="11.44140625" style="3"/>
    <col min="5644" max="5644" width="12" style="3" bestFit="1" customWidth="1"/>
    <col min="5645" max="5645" width="10.44140625" style="3" customWidth="1"/>
    <col min="5646" max="5646" width="11.77734375" style="3" bestFit="1" customWidth="1"/>
    <col min="5647" max="5647" width="11.21875" style="3" bestFit="1" customWidth="1"/>
    <col min="5648" max="5650" width="11.44140625" style="3"/>
    <col min="5651" max="5651" width="2.21875" style="3" customWidth="1"/>
    <col min="5652" max="5887" width="11.44140625" style="3"/>
    <col min="5888" max="5888" width="3.21875" style="3" customWidth="1"/>
    <col min="5889" max="5889" width="33.77734375" style="3" customWidth="1"/>
    <col min="5890" max="5890" width="11.44140625" style="3"/>
    <col min="5891" max="5891" width="10.77734375" style="3" bestFit="1" customWidth="1"/>
    <col min="5892" max="5892" width="10.77734375" style="3" customWidth="1"/>
    <col min="5893" max="5893" width="11.21875" style="3" bestFit="1" customWidth="1"/>
    <col min="5894" max="5894" width="11.44140625" style="3"/>
    <col min="5895" max="5895" width="12.44140625" style="3" customWidth="1"/>
    <col min="5896" max="5896" width="11.44140625" style="3"/>
    <col min="5897" max="5897" width="9.77734375" style="3" bestFit="1" customWidth="1"/>
    <col min="5898" max="5898" width="12" style="3" bestFit="1" customWidth="1"/>
    <col min="5899" max="5899" width="11.44140625" style="3"/>
    <col min="5900" max="5900" width="12" style="3" bestFit="1" customWidth="1"/>
    <col min="5901" max="5901" width="10.44140625" style="3" customWidth="1"/>
    <col min="5902" max="5902" width="11.77734375" style="3" bestFit="1" customWidth="1"/>
    <col min="5903" max="5903" width="11.21875" style="3" bestFit="1" customWidth="1"/>
    <col min="5904" max="5906" width="11.44140625" style="3"/>
    <col min="5907" max="5907" width="2.21875" style="3" customWidth="1"/>
    <col min="5908" max="6143" width="11.44140625" style="3"/>
    <col min="6144" max="6144" width="3.21875" style="3" customWidth="1"/>
    <col min="6145" max="6145" width="33.77734375" style="3" customWidth="1"/>
    <col min="6146" max="6146" width="11.44140625" style="3"/>
    <col min="6147" max="6147" width="10.77734375" style="3" bestFit="1" customWidth="1"/>
    <col min="6148" max="6148" width="10.77734375" style="3" customWidth="1"/>
    <col min="6149" max="6149" width="11.21875" style="3" bestFit="1" customWidth="1"/>
    <col min="6150" max="6150" width="11.44140625" style="3"/>
    <col min="6151" max="6151" width="12.44140625" style="3" customWidth="1"/>
    <col min="6152" max="6152" width="11.44140625" style="3"/>
    <col min="6153" max="6153" width="9.77734375" style="3" bestFit="1" customWidth="1"/>
    <col min="6154" max="6154" width="12" style="3" bestFit="1" customWidth="1"/>
    <col min="6155" max="6155" width="11.44140625" style="3"/>
    <col min="6156" max="6156" width="12" style="3" bestFit="1" customWidth="1"/>
    <col min="6157" max="6157" width="10.44140625" style="3" customWidth="1"/>
    <col min="6158" max="6158" width="11.77734375" style="3" bestFit="1" customWidth="1"/>
    <col min="6159" max="6159" width="11.21875" style="3" bestFit="1" customWidth="1"/>
    <col min="6160" max="6162" width="11.44140625" style="3"/>
    <col min="6163" max="6163" width="2.21875" style="3" customWidth="1"/>
    <col min="6164" max="6399" width="11.44140625" style="3"/>
    <col min="6400" max="6400" width="3.21875" style="3" customWidth="1"/>
    <col min="6401" max="6401" width="33.77734375" style="3" customWidth="1"/>
    <col min="6402" max="6402" width="11.44140625" style="3"/>
    <col min="6403" max="6403" width="10.77734375" style="3" bestFit="1" customWidth="1"/>
    <col min="6404" max="6404" width="10.77734375" style="3" customWidth="1"/>
    <col min="6405" max="6405" width="11.21875" style="3" bestFit="1" customWidth="1"/>
    <col min="6406" max="6406" width="11.44140625" style="3"/>
    <col min="6407" max="6407" width="12.44140625" style="3" customWidth="1"/>
    <col min="6408" max="6408" width="11.44140625" style="3"/>
    <col min="6409" max="6409" width="9.77734375" style="3" bestFit="1" customWidth="1"/>
    <col min="6410" max="6410" width="12" style="3" bestFit="1" customWidth="1"/>
    <col min="6411" max="6411" width="11.44140625" style="3"/>
    <col min="6412" max="6412" width="12" style="3" bestFit="1" customWidth="1"/>
    <col min="6413" max="6413" width="10.44140625" style="3" customWidth="1"/>
    <col min="6414" max="6414" width="11.77734375" style="3" bestFit="1" customWidth="1"/>
    <col min="6415" max="6415" width="11.21875" style="3" bestFit="1" customWidth="1"/>
    <col min="6416" max="6418" width="11.44140625" style="3"/>
    <col min="6419" max="6419" width="2.21875" style="3" customWidth="1"/>
    <col min="6420" max="6655" width="11.44140625" style="3"/>
    <col min="6656" max="6656" width="3.21875" style="3" customWidth="1"/>
    <col min="6657" max="6657" width="33.77734375" style="3" customWidth="1"/>
    <col min="6658" max="6658" width="11.44140625" style="3"/>
    <col min="6659" max="6659" width="10.77734375" style="3" bestFit="1" customWidth="1"/>
    <col min="6660" max="6660" width="10.77734375" style="3" customWidth="1"/>
    <col min="6661" max="6661" width="11.21875" style="3" bestFit="1" customWidth="1"/>
    <col min="6662" max="6662" width="11.44140625" style="3"/>
    <col min="6663" max="6663" width="12.44140625" style="3" customWidth="1"/>
    <col min="6664" max="6664" width="11.44140625" style="3"/>
    <col min="6665" max="6665" width="9.77734375" style="3" bestFit="1" customWidth="1"/>
    <col min="6666" max="6666" width="12" style="3" bestFit="1" customWidth="1"/>
    <col min="6667" max="6667" width="11.44140625" style="3"/>
    <col min="6668" max="6668" width="12" style="3" bestFit="1" customWidth="1"/>
    <col min="6669" max="6669" width="10.44140625" style="3" customWidth="1"/>
    <col min="6670" max="6670" width="11.77734375" style="3" bestFit="1" customWidth="1"/>
    <col min="6671" max="6671" width="11.21875" style="3" bestFit="1" customWidth="1"/>
    <col min="6672" max="6674" width="11.44140625" style="3"/>
    <col min="6675" max="6675" width="2.21875" style="3" customWidth="1"/>
    <col min="6676" max="6911" width="11.44140625" style="3"/>
    <col min="6912" max="6912" width="3.21875" style="3" customWidth="1"/>
    <col min="6913" max="6913" width="33.77734375" style="3" customWidth="1"/>
    <col min="6914" max="6914" width="11.44140625" style="3"/>
    <col min="6915" max="6915" width="10.77734375" style="3" bestFit="1" customWidth="1"/>
    <col min="6916" max="6916" width="10.77734375" style="3" customWidth="1"/>
    <col min="6917" max="6917" width="11.21875" style="3" bestFit="1" customWidth="1"/>
    <col min="6918" max="6918" width="11.44140625" style="3"/>
    <col min="6919" max="6919" width="12.44140625" style="3" customWidth="1"/>
    <col min="6920" max="6920" width="11.44140625" style="3"/>
    <col min="6921" max="6921" width="9.77734375" style="3" bestFit="1" customWidth="1"/>
    <col min="6922" max="6922" width="12" style="3" bestFit="1" customWidth="1"/>
    <col min="6923" max="6923" width="11.44140625" style="3"/>
    <col min="6924" max="6924" width="12" style="3" bestFit="1" customWidth="1"/>
    <col min="6925" max="6925" width="10.44140625" style="3" customWidth="1"/>
    <col min="6926" max="6926" width="11.77734375" style="3" bestFit="1" customWidth="1"/>
    <col min="6927" max="6927" width="11.21875" style="3" bestFit="1" customWidth="1"/>
    <col min="6928" max="6930" width="11.44140625" style="3"/>
    <col min="6931" max="6931" width="2.21875" style="3" customWidth="1"/>
    <col min="6932" max="7167" width="11.44140625" style="3"/>
    <col min="7168" max="7168" width="3.21875" style="3" customWidth="1"/>
    <col min="7169" max="7169" width="33.77734375" style="3" customWidth="1"/>
    <col min="7170" max="7170" width="11.44140625" style="3"/>
    <col min="7171" max="7171" width="10.77734375" style="3" bestFit="1" customWidth="1"/>
    <col min="7172" max="7172" width="10.77734375" style="3" customWidth="1"/>
    <col min="7173" max="7173" width="11.21875" style="3" bestFit="1" customWidth="1"/>
    <col min="7174" max="7174" width="11.44140625" style="3"/>
    <col min="7175" max="7175" width="12.44140625" style="3" customWidth="1"/>
    <col min="7176" max="7176" width="11.44140625" style="3"/>
    <col min="7177" max="7177" width="9.77734375" style="3" bestFit="1" customWidth="1"/>
    <col min="7178" max="7178" width="12" style="3" bestFit="1" customWidth="1"/>
    <col min="7179" max="7179" width="11.44140625" style="3"/>
    <col min="7180" max="7180" width="12" style="3" bestFit="1" customWidth="1"/>
    <col min="7181" max="7181" width="10.44140625" style="3" customWidth="1"/>
    <col min="7182" max="7182" width="11.77734375" style="3" bestFit="1" customWidth="1"/>
    <col min="7183" max="7183" width="11.21875" style="3" bestFit="1" customWidth="1"/>
    <col min="7184" max="7186" width="11.44140625" style="3"/>
    <col min="7187" max="7187" width="2.21875" style="3" customWidth="1"/>
    <col min="7188" max="7423" width="11.44140625" style="3"/>
    <col min="7424" max="7424" width="3.21875" style="3" customWidth="1"/>
    <col min="7425" max="7425" width="33.77734375" style="3" customWidth="1"/>
    <col min="7426" max="7426" width="11.44140625" style="3"/>
    <col min="7427" max="7427" width="10.77734375" style="3" bestFit="1" customWidth="1"/>
    <col min="7428" max="7428" width="10.77734375" style="3" customWidth="1"/>
    <col min="7429" max="7429" width="11.21875" style="3" bestFit="1" customWidth="1"/>
    <col min="7430" max="7430" width="11.44140625" style="3"/>
    <col min="7431" max="7431" width="12.44140625" style="3" customWidth="1"/>
    <col min="7432" max="7432" width="11.44140625" style="3"/>
    <col min="7433" max="7433" width="9.77734375" style="3" bestFit="1" customWidth="1"/>
    <col min="7434" max="7434" width="12" style="3" bestFit="1" customWidth="1"/>
    <col min="7435" max="7435" width="11.44140625" style="3"/>
    <col min="7436" max="7436" width="12" style="3" bestFit="1" customWidth="1"/>
    <col min="7437" max="7437" width="10.44140625" style="3" customWidth="1"/>
    <col min="7438" max="7438" width="11.77734375" style="3" bestFit="1" customWidth="1"/>
    <col min="7439" max="7439" width="11.21875" style="3" bestFit="1" customWidth="1"/>
    <col min="7440" max="7442" width="11.44140625" style="3"/>
    <col min="7443" max="7443" width="2.21875" style="3" customWidth="1"/>
    <col min="7444" max="7679" width="11.44140625" style="3"/>
    <col min="7680" max="7680" width="3.21875" style="3" customWidth="1"/>
    <col min="7681" max="7681" width="33.77734375" style="3" customWidth="1"/>
    <col min="7682" max="7682" width="11.44140625" style="3"/>
    <col min="7683" max="7683" width="10.77734375" style="3" bestFit="1" customWidth="1"/>
    <col min="7684" max="7684" width="10.77734375" style="3" customWidth="1"/>
    <col min="7685" max="7685" width="11.21875" style="3" bestFit="1" customWidth="1"/>
    <col min="7686" max="7686" width="11.44140625" style="3"/>
    <col min="7687" max="7687" width="12.44140625" style="3" customWidth="1"/>
    <col min="7688" max="7688" width="11.44140625" style="3"/>
    <col min="7689" max="7689" width="9.77734375" style="3" bestFit="1" customWidth="1"/>
    <col min="7690" max="7690" width="12" style="3" bestFit="1" customWidth="1"/>
    <col min="7691" max="7691" width="11.44140625" style="3"/>
    <col min="7692" max="7692" width="12" style="3" bestFit="1" customWidth="1"/>
    <col min="7693" max="7693" width="10.44140625" style="3" customWidth="1"/>
    <col min="7694" max="7694" width="11.77734375" style="3" bestFit="1" customWidth="1"/>
    <col min="7695" max="7695" width="11.21875" style="3" bestFit="1" customWidth="1"/>
    <col min="7696" max="7698" width="11.44140625" style="3"/>
    <col min="7699" max="7699" width="2.21875" style="3" customWidth="1"/>
    <col min="7700" max="7935" width="11.44140625" style="3"/>
    <col min="7936" max="7936" width="3.21875" style="3" customWidth="1"/>
    <col min="7937" max="7937" width="33.77734375" style="3" customWidth="1"/>
    <col min="7938" max="7938" width="11.44140625" style="3"/>
    <col min="7939" max="7939" width="10.77734375" style="3" bestFit="1" customWidth="1"/>
    <col min="7940" max="7940" width="10.77734375" style="3" customWidth="1"/>
    <col min="7941" max="7941" width="11.21875" style="3" bestFit="1" customWidth="1"/>
    <col min="7942" max="7942" width="11.44140625" style="3"/>
    <col min="7943" max="7943" width="12.44140625" style="3" customWidth="1"/>
    <col min="7944" max="7944" width="11.44140625" style="3"/>
    <col min="7945" max="7945" width="9.77734375" style="3" bestFit="1" customWidth="1"/>
    <col min="7946" max="7946" width="12" style="3" bestFit="1" customWidth="1"/>
    <col min="7947" max="7947" width="11.44140625" style="3"/>
    <col min="7948" max="7948" width="12" style="3" bestFit="1" customWidth="1"/>
    <col min="7949" max="7949" width="10.44140625" style="3" customWidth="1"/>
    <col min="7950" max="7950" width="11.77734375" style="3" bestFit="1" customWidth="1"/>
    <col min="7951" max="7951" width="11.21875" style="3" bestFit="1" customWidth="1"/>
    <col min="7952" max="7954" width="11.44140625" style="3"/>
    <col min="7955" max="7955" width="2.21875" style="3" customWidth="1"/>
    <col min="7956" max="8191" width="11.44140625" style="3"/>
    <col min="8192" max="8192" width="3.21875" style="3" customWidth="1"/>
    <col min="8193" max="8193" width="33.77734375" style="3" customWidth="1"/>
    <col min="8194" max="8194" width="11.44140625" style="3"/>
    <col min="8195" max="8195" width="10.77734375" style="3" bestFit="1" customWidth="1"/>
    <col min="8196" max="8196" width="10.77734375" style="3" customWidth="1"/>
    <col min="8197" max="8197" width="11.21875" style="3" bestFit="1" customWidth="1"/>
    <col min="8198" max="8198" width="11.44140625" style="3"/>
    <col min="8199" max="8199" width="12.44140625" style="3" customWidth="1"/>
    <col min="8200" max="8200" width="11.44140625" style="3"/>
    <col min="8201" max="8201" width="9.77734375" style="3" bestFit="1" customWidth="1"/>
    <col min="8202" max="8202" width="12" style="3" bestFit="1" customWidth="1"/>
    <col min="8203" max="8203" width="11.44140625" style="3"/>
    <col min="8204" max="8204" width="12" style="3" bestFit="1" customWidth="1"/>
    <col min="8205" max="8205" width="10.44140625" style="3" customWidth="1"/>
    <col min="8206" max="8206" width="11.77734375" style="3" bestFit="1" customWidth="1"/>
    <col min="8207" max="8207" width="11.21875" style="3" bestFit="1" customWidth="1"/>
    <col min="8208" max="8210" width="11.44140625" style="3"/>
    <col min="8211" max="8211" width="2.21875" style="3" customWidth="1"/>
    <col min="8212" max="8447" width="11.44140625" style="3"/>
    <col min="8448" max="8448" width="3.21875" style="3" customWidth="1"/>
    <col min="8449" max="8449" width="33.77734375" style="3" customWidth="1"/>
    <col min="8450" max="8450" width="11.44140625" style="3"/>
    <col min="8451" max="8451" width="10.77734375" style="3" bestFit="1" customWidth="1"/>
    <col min="8452" max="8452" width="10.77734375" style="3" customWidth="1"/>
    <col min="8453" max="8453" width="11.21875" style="3" bestFit="1" customWidth="1"/>
    <col min="8454" max="8454" width="11.44140625" style="3"/>
    <col min="8455" max="8455" width="12.44140625" style="3" customWidth="1"/>
    <col min="8456" max="8456" width="11.44140625" style="3"/>
    <col min="8457" max="8457" width="9.77734375" style="3" bestFit="1" customWidth="1"/>
    <col min="8458" max="8458" width="12" style="3" bestFit="1" customWidth="1"/>
    <col min="8459" max="8459" width="11.44140625" style="3"/>
    <col min="8460" max="8460" width="12" style="3" bestFit="1" customWidth="1"/>
    <col min="8461" max="8461" width="10.44140625" style="3" customWidth="1"/>
    <col min="8462" max="8462" width="11.77734375" style="3" bestFit="1" customWidth="1"/>
    <col min="8463" max="8463" width="11.21875" style="3" bestFit="1" customWidth="1"/>
    <col min="8464" max="8466" width="11.44140625" style="3"/>
    <col min="8467" max="8467" width="2.21875" style="3" customWidth="1"/>
    <col min="8468" max="8703" width="11.44140625" style="3"/>
    <col min="8704" max="8704" width="3.21875" style="3" customWidth="1"/>
    <col min="8705" max="8705" width="33.77734375" style="3" customWidth="1"/>
    <col min="8706" max="8706" width="11.44140625" style="3"/>
    <col min="8707" max="8707" width="10.77734375" style="3" bestFit="1" customWidth="1"/>
    <col min="8708" max="8708" width="10.77734375" style="3" customWidth="1"/>
    <col min="8709" max="8709" width="11.21875" style="3" bestFit="1" customWidth="1"/>
    <col min="8710" max="8710" width="11.44140625" style="3"/>
    <col min="8711" max="8711" width="12.44140625" style="3" customWidth="1"/>
    <col min="8712" max="8712" width="11.44140625" style="3"/>
    <col min="8713" max="8713" width="9.77734375" style="3" bestFit="1" customWidth="1"/>
    <col min="8714" max="8714" width="12" style="3" bestFit="1" customWidth="1"/>
    <col min="8715" max="8715" width="11.44140625" style="3"/>
    <col min="8716" max="8716" width="12" style="3" bestFit="1" customWidth="1"/>
    <col min="8717" max="8717" width="10.44140625" style="3" customWidth="1"/>
    <col min="8718" max="8718" width="11.77734375" style="3" bestFit="1" customWidth="1"/>
    <col min="8719" max="8719" width="11.21875" style="3" bestFit="1" customWidth="1"/>
    <col min="8720" max="8722" width="11.44140625" style="3"/>
    <col min="8723" max="8723" width="2.21875" style="3" customWidth="1"/>
    <col min="8724" max="8959" width="11.44140625" style="3"/>
    <col min="8960" max="8960" width="3.21875" style="3" customWidth="1"/>
    <col min="8961" max="8961" width="33.77734375" style="3" customWidth="1"/>
    <col min="8962" max="8962" width="11.44140625" style="3"/>
    <col min="8963" max="8963" width="10.77734375" style="3" bestFit="1" customWidth="1"/>
    <col min="8964" max="8964" width="10.77734375" style="3" customWidth="1"/>
    <col min="8965" max="8965" width="11.21875" style="3" bestFit="1" customWidth="1"/>
    <col min="8966" max="8966" width="11.44140625" style="3"/>
    <col min="8967" max="8967" width="12.44140625" style="3" customWidth="1"/>
    <col min="8968" max="8968" width="11.44140625" style="3"/>
    <col min="8969" max="8969" width="9.77734375" style="3" bestFit="1" customWidth="1"/>
    <col min="8970" max="8970" width="12" style="3" bestFit="1" customWidth="1"/>
    <col min="8971" max="8971" width="11.44140625" style="3"/>
    <col min="8972" max="8972" width="12" style="3" bestFit="1" customWidth="1"/>
    <col min="8973" max="8973" width="10.44140625" style="3" customWidth="1"/>
    <col min="8974" max="8974" width="11.77734375" style="3" bestFit="1" customWidth="1"/>
    <col min="8975" max="8975" width="11.21875" style="3" bestFit="1" customWidth="1"/>
    <col min="8976" max="8978" width="11.44140625" style="3"/>
    <col min="8979" max="8979" width="2.21875" style="3" customWidth="1"/>
    <col min="8980" max="9215" width="11.44140625" style="3"/>
    <col min="9216" max="9216" width="3.21875" style="3" customWidth="1"/>
    <col min="9217" max="9217" width="33.77734375" style="3" customWidth="1"/>
    <col min="9218" max="9218" width="11.44140625" style="3"/>
    <col min="9219" max="9219" width="10.77734375" style="3" bestFit="1" customWidth="1"/>
    <col min="9220" max="9220" width="10.77734375" style="3" customWidth="1"/>
    <col min="9221" max="9221" width="11.21875" style="3" bestFit="1" customWidth="1"/>
    <col min="9222" max="9222" width="11.44140625" style="3"/>
    <col min="9223" max="9223" width="12.44140625" style="3" customWidth="1"/>
    <col min="9224" max="9224" width="11.44140625" style="3"/>
    <col min="9225" max="9225" width="9.77734375" style="3" bestFit="1" customWidth="1"/>
    <col min="9226" max="9226" width="12" style="3" bestFit="1" customWidth="1"/>
    <col min="9227" max="9227" width="11.44140625" style="3"/>
    <col min="9228" max="9228" width="12" style="3" bestFit="1" customWidth="1"/>
    <col min="9229" max="9229" width="10.44140625" style="3" customWidth="1"/>
    <col min="9230" max="9230" width="11.77734375" style="3" bestFit="1" customWidth="1"/>
    <col min="9231" max="9231" width="11.21875" style="3" bestFit="1" customWidth="1"/>
    <col min="9232" max="9234" width="11.44140625" style="3"/>
    <col min="9235" max="9235" width="2.21875" style="3" customWidth="1"/>
    <col min="9236" max="9471" width="11.44140625" style="3"/>
    <col min="9472" max="9472" width="3.21875" style="3" customWidth="1"/>
    <col min="9473" max="9473" width="33.77734375" style="3" customWidth="1"/>
    <col min="9474" max="9474" width="11.44140625" style="3"/>
    <col min="9475" max="9475" width="10.77734375" style="3" bestFit="1" customWidth="1"/>
    <col min="9476" max="9476" width="10.77734375" style="3" customWidth="1"/>
    <col min="9477" max="9477" width="11.21875" style="3" bestFit="1" customWidth="1"/>
    <col min="9478" max="9478" width="11.44140625" style="3"/>
    <col min="9479" max="9479" width="12.44140625" style="3" customWidth="1"/>
    <col min="9480" max="9480" width="11.44140625" style="3"/>
    <col min="9481" max="9481" width="9.77734375" style="3" bestFit="1" customWidth="1"/>
    <col min="9482" max="9482" width="12" style="3" bestFit="1" customWidth="1"/>
    <col min="9483" max="9483" width="11.44140625" style="3"/>
    <col min="9484" max="9484" width="12" style="3" bestFit="1" customWidth="1"/>
    <col min="9485" max="9485" width="10.44140625" style="3" customWidth="1"/>
    <col min="9486" max="9486" width="11.77734375" style="3" bestFit="1" customWidth="1"/>
    <col min="9487" max="9487" width="11.21875" style="3" bestFit="1" customWidth="1"/>
    <col min="9488" max="9490" width="11.44140625" style="3"/>
    <col min="9491" max="9491" width="2.21875" style="3" customWidth="1"/>
    <col min="9492" max="9727" width="11.44140625" style="3"/>
    <col min="9728" max="9728" width="3.21875" style="3" customWidth="1"/>
    <col min="9729" max="9729" width="33.77734375" style="3" customWidth="1"/>
    <col min="9730" max="9730" width="11.44140625" style="3"/>
    <col min="9731" max="9731" width="10.77734375" style="3" bestFit="1" customWidth="1"/>
    <col min="9732" max="9732" width="10.77734375" style="3" customWidth="1"/>
    <col min="9733" max="9733" width="11.21875" style="3" bestFit="1" customWidth="1"/>
    <col min="9734" max="9734" width="11.44140625" style="3"/>
    <col min="9735" max="9735" width="12.44140625" style="3" customWidth="1"/>
    <col min="9736" max="9736" width="11.44140625" style="3"/>
    <col min="9737" max="9737" width="9.77734375" style="3" bestFit="1" customWidth="1"/>
    <col min="9738" max="9738" width="12" style="3" bestFit="1" customWidth="1"/>
    <col min="9739" max="9739" width="11.44140625" style="3"/>
    <col min="9740" max="9740" width="12" style="3" bestFit="1" customWidth="1"/>
    <col min="9741" max="9741" width="10.44140625" style="3" customWidth="1"/>
    <col min="9742" max="9742" width="11.77734375" style="3" bestFit="1" customWidth="1"/>
    <col min="9743" max="9743" width="11.21875" style="3" bestFit="1" customWidth="1"/>
    <col min="9744" max="9746" width="11.44140625" style="3"/>
    <col min="9747" max="9747" width="2.21875" style="3" customWidth="1"/>
    <col min="9748" max="9983" width="11.44140625" style="3"/>
    <col min="9984" max="9984" width="3.21875" style="3" customWidth="1"/>
    <col min="9985" max="9985" width="33.77734375" style="3" customWidth="1"/>
    <col min="9986" max="9986" width="11.44140625" style="3"/>
    <col min="9987" max="9987" width="10.77734375" style="3" bestFit="1" customWidth="1"/>
    <col min="9988" max="9988" width="10.77734375" style="3" customWidth="1"/>
    <col min="9989" max="9989" width="11.21875" style="3" bestFit="1" customWidth="1"/>
    <col min="9990" max="9990" width="11.44140625" style="3"/>
    <col min="9991" max="9991" width="12.44140625" style="3" customWidth="1"/>
    <col min="9992" max="9992" width="11.44140625" style="3"/>
    <col min="9993" max="9993" width="9.77734375" style="3" bestFit="1" customWidth="1"/>
    <col min="9994" max="9994" width="12" style="3" bestFit="1" customWidth="1"/>
    <col min="9995" max="9995" width="11.44140625" style="3"/>
    <col min="9996" max="9996" width="12" style="3" bestFit="1" customWidth="1"/>
    <col min="9997" max="9997" width="10.44140625" style="3" customWidth="1"/>
    <col min="9998" max="9998" width="11.77734375" style="3" bestFit="1" customWidth="1"/>
    <col min="9999" max="9999" width="11.21875" style="3" bestFit="1" customWidth="1"/>
    <col min="10000" max="10002" width="11.44140625" style="3"/>
    <col min="10003" max="10003" width="2.21875" style="3" customWidth="1"/>
    <col min="10004" max="10239" width="11.44140625" style="3"/>
    <col min="10240" max="10240" width="3.21875" style="3" customWidth="1"/>
    <col min="10241" max="10241" width="33.77734375" style="3" customWidth="1"/>
    <col min="10242" max="10242" width="11.44140625" style="3"/>
    <col min="10243" max="10243" width="10.77734375" style="3" bestFit="1" customWidth="1"/>
    <col min="10244" max="10244" width="10.77734375" style="3" customWidth="1"/>
    <col min="10245" max="10245" width="11.21875" style="3" bestFit="1" customWidth="1"/>
    <col min="10246" max="10246" width="11.44140625" style="3"/>
    <col min="10247" max="10247" width="12.44140625" style="3" customWidth="1"/>
    <col min="10248" max="10248" width="11.44140625" style="3"/>
    <col min="10249" max="10249" width="9.77734375" style="3" bestFit="1" customWidth="1"/>
    <col min="10250" max="10250" width="12" style="3" bestFit="1" customWidth="1"/>
    <col min="10251" max="10251" width="11.44140625" style="3"/>
    <col min="10252" max="10252" width="12" style="3" bestFit="1" customWidth="1"/>
    <col min="10253" max="10253" width="10.44140625" style="3" customWidth="1"/>
    <col min="10254" max="10254" width="11.77734375" style="3" bestFit="1" customWidth="1"/>
    <col min="10255" max="10255" width="11.21875" style="3" bestFit="1" customWidth="1"/>
    <col min="10256" max="10258" width="11.44140625" style="3"/>
    <col min="10259" max="10259" width="2.21875" style="3" customWidth="1"/>
    <col min="10260" max="10495" width="11.44140625" style="3"/>
    <col min="10496" max="10496" width="3.21875" style="3" customWidth="1"/>
    <col min="10497" max="10497" width="33.77734375" style="3" customWidth="1"/>
    <col min="10498" max="10498" width="11.44140625" style="3"/>
    <col min="10499" max="10499" width="10.77734375" style="3" bestFit="1" customWidth="1"/>
    <col min="10500" max="10500" width="10.77734375" style="3" customWidth="1"/>
    <col min="10501" max="10501" width="11.21875" style="3" bestFit="1" customWidth="1"/>
    <col min="10502" max="10502" width="11.44140625" style="3"/>
    <col min="10503" max="10503" width="12.44140625" style="3" customWidth="1"/>
    <col min="10504" max="10504" width="11.44140625" style="3"/>
    <col min="10505" max="10505" width="9.77734375" style="3" bestFit="1" customWidth="1"/>
    <col min="10506" max="10506" width="12" style="3" bestFit="1" customWidth="1"/>
    <col min="10507" max="10507" width="11.44140625" style="3"/>
    <col min="10508" max="10508" width="12" style="3" bestFit="1" customWidth="1"/>
    <col min="10509" max="10509" width="10.44140625" style="3" customWidth="1"/>
    <col min="10510" max="10510" width="11.77734375" style="3" bestFit="1" customWidth="1"/>
    <col min="10511" max="10511" width="11.21875" style="3" bestFit="1" customWidth="1"/>
    <col min="10512" max="10514" width="11.44140625" style="3"/>
    <col min="10515" max="10515" width="2.21875" style="3" customWidth="1"/>
    <col min="10516" max="10751" width="11.44140625" style="3"/>
    <col min="10752" max="10752" width="3.21875" style="3" customWidth="1"/>
    <col min="10753" max="10753" width="33.77734375" style="3" customWidth="1"/>
    <col min="10754" max="10754" width="11.44140625" style="3"/>
    <col min="10755" max="10755" width="10.77734375" style="3" bestFit="1" customWidth="1"/>
    <col min="10756" max="10756" width="10.77734375" style="3" customWidth="1"/>
    <col min="10757" max="10757" width="11.21875" style="3" bestFit="1" customWidth="1"/>
    <col min="10758" max="10758" width="11.44140625" style="3"/>
    <col min="10759" max="10759" width="12.44140625" style="3" customWidth="1"/>
    <col min="10760" max="10760" width="11.44140625" style="3"/>
    <col min="10761" max="10761" width="9.77734375" style="3" bestFit="1" customWidth="1"/>
    <col min="10762" max="10762" width="12" style="3" bestFit="1" customWidth="1"/>
    <col min="10763" max="10763" width="11.44140625" style="3"/>
    <col min="10764" max="10764" width="12" style="3" bestFit="1" customWidth="1"/>
    <col min="10765" max="10765" width="10.44140625" style="3" customWidth="1"/>
    <col min="10766" max="10766" width="11.77734375" style="3" bestFit="1" customWidth="1"/>
    <col min="10767" max="10767" width="11.21875" style="3" bestFit="1" customWidth="1"/>
    <col min="10768" max="10770" width="11.44140625" style="3"/>
    <col min="10771" max="10771" width="2.21875" style="3" customWidth="1"/>
    <col min="10772" max="11007" width="11.44140625" style="3"/>
    <col min="11008" max="11008" width="3.21875" style="3" customWidth="1"/>
    <col min="11009" max="11009" width="33.77734375" style="3" customWidth="1"/>
    <col min="11010" max="11010" width="11.44140625" style="3"/>
    <col min="11011" max="11011" width="10.77734375" style="3" bestFit="1" customWidth="1"/>
    <col min="11012" max="11012" width="10.77734375" style="3" customWidth="1"/>
    <col min="11013" max="11013" width="11.21875" style="3" bestFit="1" customWidth="1"/>
    <col min="11014" max="11014" width="11.44140625" style="3"/>
    <col min="11015" max="11015" width="12.44140625" style="3" customWidth="1"/>
    <col min="11016" max="11016" width="11.44140625" style="3"/>
    <col min="11017" max="11017" width="9.77734375" style="3" bestFit="1" customWidth="1"/>
    <col min="11018" max="11018" width="12" style="3" bestFit="1" customWidth="1"/>
    <col min="11019" max="11019" width="11.44140625" style="3"/>
    <col min="11020" max="11020" width="12" style="3" bestFit="1" customWidth="1"/>
    <col min="11021" max="11021" width="10.44140625" style="3" customWidth="1"/>
    <col min="11022" max="11022" width="11.77734375" style="3" bestFit="1" customWidth="1"/>
    <col min="11023" max="11023" width="11.21875" style="3" bestFit="1" customWidth="1"/>
    <col min="11024" max="11026" width="11.44140625" style="3"/>
    <col min="11027" max="11027" width="2.21875" style="3" customWidth="1"/>
    <col min="11028" max="11263" width="11.44140625" style="3"/>
    <col min="11264" max="11264" width="3.21875" style="3" customWidth="1"/>
    <col min="11265" max="11265" width="33.77734375" style="3" customWidth="1"/>
    <col min="11266" max="11266" width="11.44140625" style="3"/>
    <col min="11267" max="11267" width="10.77734375" style="3" bestFit="1" customWidth="1"/>
    <col min="11268" max="11268" width="10.77734375" style="3" customWidth="1"/>
    <col min="11269" max="11269" width="11.21875" style="3" bestFit="1" customWidth="1"/>
    <col min="11270" max="11270" width="11.44140625" style="3"/>
    <col min="11271" max="11271" width="12.44140625" style="3" customWidth="1"/>
    <col min="11272" max="11272" width="11.44140625" style="3"/>
    <col min="11273" max="11273" width="9.77734375" style="3" bestFit="1" customWidth="1"/>
    <col min="11274" max="11274" width="12" style="3" bestFit="1" customWidth="1"/>
    <col min="11275" max="11275" width="11.44140625" style="3"/>
    <col min="11276" max="11276" width="12" style="3" bestFit="1" customWidth="1"/>
    <col min="11277" max="11277" width="10.44140625" style="3" customWidth="1"/>
    <col min="11278" max="11278" width="11.77734375" style="3" bestFit="1" customWidth="1"/>
    <col min="11279" max="11279" width="11.21875" style="3" bestFit="1" customWidth="1"/>
    <col min="11280" max="11282" width="11.44140625" style="3"/>
    <col min="11283" max="11283" width="2.21875" style="3" customWidth="1"/>
    <col min="11284" max="11519" width="11.44140625" style="3"/>
    <col min="11520" max="11520" width="3.21875" style="3" customWidth="1"/>
    <col min="11521" max="11521" width="33.77734375" style="3" customWidth="1"/>
    <col min="11522" max="11522" width="11.44140625" style="3"/>
    <col min="11523" max="11523" width="10.77734375" style="3" bestFit="1" customWidth="1"/>
    <col min="11524" max="11524" width="10.77734375" style="3" customWidth="1"/>
    <col min="11525" max="11525" width="11.21875" style="3" bestFit="1" customWidth="1"/>
    <col min="11526" max="11526" width="11.44140625" style="3"/>
    <col min="11527" max="11527" width="12.44140625" style="3" customWidth="1"/>
    <col min="11528" max="11528" width="11.44140625" style="3"/>
    <col min="11529" max="11529" width="9.77734375" style="3" bestFit="1" customWidth="1"/>
    <col min="11530" max="11530" width="12" style="3" bestFit="1" customWidth="1"/>
    <col min="11531" max="11531" width="11.44140625" style="3"/>
    <col min="11532" max="11532" width="12" style="3" bestFit="1" customWidth="1"/>
    <col min="11533" max="11533" width="10.44140625" style="3" customWidth="1"/>
    <col min="11534" max="11534" width="11.77734375" style="3" bestFit="1" customWidth="1"/>
    <col min="11535" max="11535" width="11.21875" style="3" bestFit="1" customWidth="1"/>
    <col min="11536" max="11538" width="11.44140625" style="3"/>
    <col min="11539" max="11539" width="2.21875" style="3" customWidth="1"/>
    <col min="11540" max="11775" width="11.44140625" style="3"/>
    <col min="11776" max="11776" width="3.21875" style="3" customWidth="1"/>
    <col min="11777" max="11777" width="33.77734375" style="3" customWidth="1"/>
    <col min="11778" max="11778" width="11.44140625" style="3"/>
    <col min="11779" max="11779" width="10.77734375" style="3" bestFit="1" customWidth="1"/>
    <col min="11780" max="11780" width="10.77734375" style="3" customWidth="1"/>
    <col min="11781" max="11781" width="11.21875" style="3" bestFit="1" customWidth="1"/>
    <col min="11782" max="11782" width="11.44140625" style="3"/>
    <col min="11783" max="11783" width="12.44140625" style="3" customWidth="1"/>
    <col min="11784" max="11784" width="11.44140625" style="3"/>
    <col min="11785" max="11785" width="9.77734375" style="3" bestFit="1" customWidth="1"/>
    <col min="11786" max="11786" width="12" style="3" bestFit="1" customWidth="1"/>
    <col min="11787" max="11787" width="11.44140625" style="3"/>
    <col min="11788" max="11788" width="12" style="3" bestFit="1" customWidth="1"/>
    <col min="11789" max="11789" width="10.44140625" style="3" customWidth="1"/>
    <col min="11790" max="11790" width="11.77734375" style="3" bestFit="1" customWidth="1"/>
    <col min="11791" max="11791" width="11.21875" style="3" bestFit="1" customWidth="1"/>
    <col min="11792" max="11794" width="11.44140625" style="3"/>
    <col min="11795" max="11795" width="2.21875" style="3" customWidth="1"/>
    <col min="11796" max="12031" width="11.44140625" style="3"/>
    <col min="12032" max="12032" width="3.21875" style="3" customWidth="1"/>
    <col min="12033" max="12033" width="33.77734375" style="3" customWidth="1"/>
    <col min="12034" max="12034" width="11.44140625" style="3"/>
    <col min="12035" max="12035" width="10.77734375" style="3" bestFit="1" customWidth="1"/>
    <col min="12036" max="12036" width="10.77734375" style="3" customWidth="1"/>
    <col min="12037" max="12037" width="11.21875" style="3" bestFit="1" customWidth="1"/>
    <col min="12038" max="12038" width="11.44140625" style="3"/>
    <col min="12039" max="12039" width="12.44140625" style="3" customWidth="1"/>
    <col min="12040" max="12040" width="11.44140625" style="3"/>
    <col min="12041" max="12041" width="9.77734375" style="3" bestFit="1" customWidth="1"/>
    <col min="12042" max="12042" width="12" style="3" bestFit="1" customWidth="1"/>
    <col min="12043" max="12043" width="11.44140625" style="3"/>
    <col min="12044" max="12044" width="12" style="3" bestFit="1" customWidth="1"/>
    <col min="12045" max="12045" width="10.44140625" style="3" customWidth="1"/>
    <col min="12046" max="12046" width="11.77734375" style="3" bestFit="1" customWidth="1"/>
    <col min="12047" max="12047" width="11.21875" style="3" bestFit="1" customWidth="1"/>
    <col min="12048" max="12050" width="11.44140625" style="3"/>
    <col min="12051" max="12051" width="2.21875" style="3" customWidth="1"/>
    <col min="12052" max="12287" width="11.44140625" style="3"/>
    <col min="12288" max="12288" width="3.21875" style="3" customWidth="1"/>
    <col min="12289" max="12289" width="33.77734375" style="3" customWidth="1"/>
    <col min="12290" max="12290" width="11.44140625" style="3"/>
    <col min="12291" max="12291" width="10.77734375" style="3" bestFit="1" customWidth="1"/>
    <col min="12292" max="12292" width="10.77734375" style="3" customWidth="1"/>
    <col min="12293" max="12293" width="11.21875" style="3" bestFit="1" customWidth="1"/>
    <col min="12294" max="12294" width="11.44140625" style="3"/>
    <col min="12295" max="12295" width="12.44140625" style="3" customWidth="1"/>
    <col min="12296" max="12296" width="11.44140625" style="3"/>
    <col min="12297" max="12297" width="9.77734375" style="3" bestFit="1" customWidth="1"/>
    <col min="12298" max="12298" width="12" style="3" bestFit="1" customWidth="1"/>
    <col min="12299" max="12299" width="11.44140625" style="3"/>
    <col min="12300" max="12300" width="12" style="3" bestFit="1" customWidth="1"/>
    <col min="12301" max="12301" width="10.44140625" style="3" customWidth="1"/>
    <col min="12302" max="12302" width="11.77734375" style="3" bestFit="1" customWidth="1"/>
    <col min="12303" max="12303" width="11.21875" style="3" bestFit="1" customWidth="1"/>
    <col min="12304" max="12306" width="11.44140625" style="3"/>
    <col min="12307" max="12307" width="2.21875" style="3" customWidth="1"/>
    <col min="12308" max="12543" width="11.44140625" style="3"/>
    <col min="12544" max="12544" width="3.21875" style="3" customWidth="1"/>
    <col min="12545" max="12545" width="33.77734375" style="3" customWidth="1"/>
    <col min="12546" max="12546" width="11.44140625" style="3"/>
    <col min="12547" max="12547" width="10.77734375" style="3" bestFit="1" customWidth="1"/>
    <col min="12548" max="12548" width="10.77734375" style="3" customWidth="1"/>
    <col min="12549" max="12549" width="11.21875" style="3" bestFit="1" customWidth="1"/>
    <col min="12550" max="12550" width="11.44140625" style="3"/>
    <col min="12551" max="12551" width="12.44140625" style="3" customWidth="1"/>
    <col min="12552" max="12552" width="11.44140625" style="3"/>
    <col min="12553" max="12553" width="9.77734375" style="3" bestFit="1" customWidth="1"/>
    <col min="12554" max="12554" width="12" style="3" bestFit="1" customWidth="1"/>
    <col min="12555" max="12555" width="11.44140625" style="3"/>
    <col min="12556" max="12556" width="12" style="3" bestFit="1" customWidth="1"/>
    <col min="12557" max="12557" width="10.44140625" style="3" customWidth="1"/>
    <col min="12558" max="12558" width="11.77734375" style="3" bestFit="1" customWidth="1"/>
    <col min="12559" max="12559" width="11.21875" style="3" bestFit="1" customWidth="1"/>
    <col min="12560" max="12562" width="11.44140625" style="3"/>
    <col min="12563" max="12563" width="2.21875" style="3" customWidth="1"/>
    <col min="12564" max="12799" width="11.44140625" style="3"/>
    <col min="12800" max="12800" width="3.21875" style="3" customWidth="1"/>
    <col min="12801" max="12801" width="33.77734375" style="3" customWidth="1"/>
    <col min="12802" max="12802" width="11.44140625" style="3"/>
    <col min="12803" max="12803" width="10.77734375" style="3" bestFit="1" customWidth="1"/>
    <col min="12804" max="12804" width="10.77734375" style="3" customWidth="1"/>
    <col min="12805" max="12805" width="11.21875" style="3" bestFit="1" customWidth="1"/>
    <col min="12806" max="12806" width="11.44140625" style="3"/>
    <col min="12807" max="12807" width="12.44140625" style="3" customWidth="1"/>
    <col min="12808" max="12808" width="11.44140625" style="3"/>
    <col min="12809" max="12809" width="9.77734375" style="3" bestFit="1" customWidth="1"/>
    <col min="12810" max="12810" width="12" style="3" bestFit="1" customWidth="1"/>
    <col min="12811" max="12811" width="11.44140625" style="3"/>
    <col min="12812" max="12812" width="12" style="3" bestFit="1" customWidth="1"/>
    <col min="12813" max="12813" width="10.44140625" style="3" customWidth="1"/>
    <col min="12814" max="12814" width="11.77734375" style="3" bestFit="1" customWidth="1"/>
    <col min="12815" max="12815" width="11.21875" style="3" bestFit="1" customWidth="1"/>
    <col min="12816" max="12818" width="11.44140625" style="3"/>
    <col min="12819" max="12819" width="2.21875" style="3" customWidth="1"/>
    <col min="12820" max="13055" width="11.44140625" style="3"/>
    <col min="13056" max="13056" width="3.21875" style="3" customWidth="1"/>
    <col min="13057" max="13057" width="33.77734375" style="3" customWidth="1"/>
    <col min="13058" max="13058" width="11.44140625" style="3"/>
    <col min="13059" max="13059" width="10.77734375" style="3" bestFit="1" customWidth="1"/>
    <col min="13060" max="13060" width="10.77734375" style="3" customWidth="1"/>
    <col min="13061" max="13061" width="11.21875" style="3" bestFit="1" customWidth="1"/>
    <col min="13062" max="13062" width="11.44140625" style="3"/>
    <col min="13063" max="13063" width="12.44140625" style="3" customWidth="1"/>
    <col min="13064" max="13064" width="11.44140625" style="3"/>
    <col min="13065" max="13065" width="9.77734375" style="3" bestFit="1" customWidth="1"/>
    <col min="13066" max="13066" width="12" style="3" bestFit="1" customWidth="1"/>
    <col min="13067" max="13067" width="11.44140625" style="3"/>
    <col min="13068" max="13068" width="12" style="3" bestFit="1" customWidth="1"/>
    <col min="13069" max="13069" width="10.44140625" style="3" customWidth="1"/>
    <col min="13070" max="13070" width="11.77734375" style="3" bestFit="1" customWidth="1"/>
    <col min="13071" max="13071" width="11.21875" style="3" bestFit="1" customWidth="1"/>
    <col min="13072" max="13074" width="11.44140625" style="3"/>
    <col min="13075" max="13075" width="2.21875" style="3" customWidth="1"/>
    <col min="13076" max="13311" width="11.44140625" style="3"/>
    <col min="13312" max="13312" width="3.21875" style="3" customWidth="1"/>
    <col min="13313" max="13313" width="33.77734375" style="3" customWidth="1"/>
    <col min="13314" max="13314" width="11.44140625" style="3"/>
    <col min="13315" max="13315" width="10.77734375" style="3" bestFit="1" customWidth="1"/>
    <col min="13316" max="13316" width="10.77734375" style="3" customWidth="1"/>
    <col min="13317" max="13317" width="11.21875" style="3" bestFit="1" customWidth="1"/>
    <col min="13318" max="13318" width="11.44140625" style="3"/>
    <col min="13319" max="13319" width="12.44140625" style="3" customWidth="1"/>
    <col min="13320" max="13320" width="11.44140625" style="3"/>
    <col min="13321" max="13321" width="9.77734375" style="3" bestFit="1" customWidth="1"/>
    <col min="13322" max="13322" width="12" style="3" bestFit="1" customWidth="1"/>
    <col min="13323" max="13323" width="11.44140625" style="3"/>
    <col min="13324" max="13324" width="12" style="3" bestFit="1" customWidth="1"/>
    <col min="13325" max="13325" width="10.44140625" style="3" customWidth="1"/>
    <col min="13326" max="13326" width="11.77734375" style="3" bestFit="1" customWidth="1"/>
    <col min="13327" max="13327" width="11.21875" style="3" bestFit="1" customWidth="1"/>
    <col min="13328" max="13330" width="11.44140625" style="3"/>
    <col min="13331" max="13331" width="2.21875" style="3" customWidth="1"/>
    <col min="13332" max="13567" width="11.44140625" style="3"/>
    <col min="13568" max="13568" width="3.21875" style="3" customWidth="1"/>
    <col min="13569" max="13569" width="33.77734375" style="3" customWidth="1"/>
    <col min="13570" max="13570" width="11.44140625" style="3"/>
    <col min="13571" max="13571" width="10.77734375" style="3" bestFit="1" customWidth="1"/>
    <col min="13572" max="13572" width="10.77734375" style="3" customWidth="1"/>
    <col min="13573" max="13573" width="11.21875" style="3" bestFit="1" customWidth="1"/>
    <col min="13574" max="13574" width="11.44140625" style="3"/>
    <col min="13575" max="13575" width="12.44140625" style="3" customWidth="1"/>
    <col min="13576" max="13576" width="11.44140625" style="3"/>
    <col min="13577" max="13577" width="9.77734375" style="3" bestFit="1" customWidth="1"/>
    <col min="13578" max="13578" width="12" style="3" bestFit="1" customWidth="1"/>
    <col min="13579" max="13579" width="11.44140625" style="3"/>
    <col min="13580" max="13580" width="12" style="3" bestFit="1" customWidth="1"/>
    <col min="13581" max="13581" width="10.44140625" style="3" customWidth="1"/>
    <col min="13582" max="13582" width="11.77734375" style="3" bestFit="1" customWidth="1"/>
    <col min="13583" max="13583" width="11.21875" style="3" bestFit="1" customWidth="1"/>
    <col min="13584" max="13586" width="11.44140625" style="3"/>
    <col min="13587" max="13587" width="2.21875" style="3" customWidth="1"/>
    <col min="13588" max="13823" width="11.44140625" style="3"/>
    <col min="13824" max="13824" width="3.21875" style="3" customWidth="1"/>
    <col min="13825" max="13825" width="33.77734375" style="3" customWidth="1"/>
    <col min="13826" max="13826" width="11.44140625" style="3"/>
    <col min="13827" max="13827" width="10.77734375" style="3" bestFit="1" customWidth="1"/>
    <col min="13828" max="13828" width="10.77734375" style="3" customWidth="1"/>
    <col min="13829" max="13829" width="11.21875" style="3" bestFit="1" customWidth="1"/>
    <col min="13830" max="13830" width="11.44140625" style="3"/>
    <col min="13831" max="13831" width="12.44140625" style="3" customWidth="1"/>
    <col min="13832" max="13832" width="11.44140625" style="3"/>
    <col min="13833" max="13833" width="9.77734375" style="3" bestFit="1" customWidth="1"/>
    <col min="13834" max="13834" width="12" style="3" bestFit="1" customWidth="1"/>
    <col min="13835" max="13835" width="11.44140625" style="3"/>
    <col min="13836" max="13836" width="12" style="3" bestFit="1" customWidth="1"/>
    <col min="13837" max="13837" width="10.44140625" style="3" customWidth="1"/>
    <col min="13838" max="13838" width="11.77734375" style="3" bestFit="1" customWidth="1"/>
    <col min="13839" max="13839" width="11.21875" style="3" bestFit="1" customWidth="1"/>
    <col min="13840" max="13842" width="11.44140625" style="3"/>
    <col min="13843" max="13843" width="2.21875" style="3" customWidth="1"/>
    <col min="13844" max="14079" width="11.44140625" style="3"/>
    <col min="14080" max="14080" width="3.21875" style="3" customWidth="1"/>
    <col min="14081" max="14081" width="33.77734375" style="3" customWidth="1"/>
    <col min="14082" max="14082" width="11.44140625" style="3"/>
    <col min="14083" max="14083" width="10.77734375" style="3" bestFit="1" customWidth="1"/>
    <col min="14084" max="14084" width="10.77734375" style="3" customWidth="1"/>
    <col min="14085" max="14085" width="11.21875" style="3" bestFit="1" customWidth="1"/>
    <col min="14086" max="14086" width="11.44140625" style="3"/>
    <col min="14087" max="14087" width="12.44140625" style="3" customWidth="1"/>
    <col min="14088" max="14088" width="11.44140625" style="3"/>
    <col min="14089" max="14089" width="9.77734375" style="3" bestFit="1" customWidth="1"/>
    <col min="14090" max="14090" width="12" style="3" bestFit="1" customWidth="1"/>
    <col min="14091" max="14091" width="11.44140625" style="3"/>
    <col min="14092" max="14092" width="12" style="3" bestFit="1" customWidth="1"/>
    <col min="14093" max="14093" width="10.44140625" style="3" customWidth="1"/>
    <col min="14094" max="14094" width="11.77734375" style="3" bestFit="1" customWidth="1"/>
    <col min="14095" max="14095" width="11.21875" style="3" bestFit="1" customWidth="1"/>
    <col min="14096" max="14098" width="11.44140625" style="3"/>
    <col min="14099" max="14099" width="2.21875" style="3" customWidth="1"/>
    <col min="14100" max="14335" width="11.44140625" style="3"/>
    <col min="14336" max="14336" width="3.21875" style="3" customWidth="1"/>
    <col min="14337" max="14337" width="33.77734375" style="3" customWidth="1"/>
    <col min="14338" max="14338" width="11.44140625" style="3"/>
    <col min="14339" max="14339" width="10.77734375" style="3" bestFit="1" customWidth="1"/>
    <col min="14340" max="14340" width="10.77734375" style="3" customWidth="1"/>
    <col min="14341" max="14341" width="11.21875" style="3" bestFit="1" customWidth="1"/>
    <col min="14342" max="14342" width="11.44140625" style="3"/>
    <col min="14343" max="14343" width="12.44140625" style="3" customWidth="1"/>
    <col min="14344" max="14344" width="11.44140625" style="3"/>
    <col min="14345" max="14345" width="9.77734375" style="3" bestFit="1" customWidth="1"/>
    <col min="14346" max="14346" width="12" style="3" bestFit="1" customWidth="1"/>
    <col min="14347" max="14347" width="11.44140625" style="3"/>
    <col min="14348" max="14348" width="12" style="3" bestFit="1" customWidth="1"/>
    <col min="14349" max="14349" width="10.44140625" style="3" customWidth="1"/>
    <col min="14350" max="14350" width="11.77734375" style="3" bestFit="1" customWidth="1"/>
    <col min="14351" max="14351" width="11.21875" style="3" bestFit="1" customWidth="1"/>
    <col min="14352" max="14354" width="11.44140625" style="3"/>
    <col min="14355" max="14355" width="2.21875" style="3" customWidth="1"/>
    <col min="14356" max="14591" width="11.44140625" style="3"/>
    <col min="14592" max="14592" width="3.21875" style="3" customWidth="1"/>
    <col min="14593" max="14593" width="33.77734375" style="3" customWidth="1"/>
    <col min="14594" max="14594" width="11.44140625" style="3"/>
    <col min="14595" max="14595" width="10.77734375" style="3" bestFit="1" customWidth="1"/>
    <col min="14596" max="14596" width="10.77734375" style="3" customWidth="1"/>
    <col min="14597" max="14597" width="11.21875" style="3" bestFit="1" customWidth="1"/>
    <col min="14598" max="14598" width="11.44140625" style="3"/>
    <col min="14599" max="14599" width="12.44140625" style="3" customWidth="1"/>
    <col min="14600" max="14600" width="11.44140625" style="3"/>
    <col min="14601" max="14601" width="9.77734375" style="3" bestFit="1" customWidth="1"/>
    <col min="14602" max="14602" width="12" style="3" bestFit="1" customWidth="1"/>
    <col min="14603" max="14603" width="11.44140625" style="3"/>
    <col min="14604" max="14604" width="12" style="3" bestFit="1" customWidth="1"/>
    <col min="14605" max="14605" width="10.44140625" style="3" customWidth="1"/>
    <col min="14606" max="14606" width="11.77734375" style="3" bestFit="1" customWidth="1"/>
    <col min="14607" max="14607" width="11.21875" style="3" bestFit="1" customWidth="1"/>
    <col min="14608" max="14610" width="11.44140625" style="3"/>
    <col min="14611" max="14611" width="2.21875" style="3" customWidth="1"/>
    <col min="14612" max="14847" width="11.44140625" style="3"/>
    <col min="14848" max="14848" width="3.21875" style="3" customWidth="1"/>
    <col min="14849" max="14849" width="33.77734375" style="3" customWidth="1"/>
    <col min="14850" max="14850" width="11.44140625" style="3"/>
    <col min="14851" max="14851" width="10.77734375" style="3" bestFit="1" customWidth="1"/>
    <col min="14852" max="14852" width="10.77734375" style="3" customWidth="1"/>
    <col min="14853" max="14853" width="11.21875" style="3" bestFit="1" customWidth="1"/>
    <col min="14854" max="14854" width="11.44140625" style="3"/>
    <col min="14855" max="14855" width="12.44140625" style="3" customWidth="1"/>
    <col min="14856" max="14856" width="11.44140625" style="3"/>
    <col min="14857" max="14857" width="9.77734375" style="3" bestFit="1" customWidth="1"/>
    <col min="14858" max="14858" width="12" style="3" bestFit="1" customWidth="1"/>
    <col min="14859" max="14859" width="11.44140625" style="3"/>
    <col min="14860" max="14860" width="12" style="3" bestFit="1" customWidth="1"/>
    <col min="14861" max="14861" width="10.44140625" style="3" customWidth="1"/>
    <col min="14862" max="14862" width="11.77734375" style="3" bestFit="1" customWidth="1"/>
    <col min="14863" max="14863" width="11.21875" style="3" bestFit="1" customWidth="1"/>
    <col min="14864" max="14866" width="11.44140625" style="3"/>
    <col min="14867" max="14867" width="2.21875" style="3" customWidth="1"/>
    <col min="14868" max="15103" width="11.44140625" style="3"/>
    <col min="15104" max="15104" width="3.21875" style="3" customWidth="1"/>
    <col min="15105" max="15105" width="33.77734375" style="3" customWidth="1"/>
    <col min="15106" max="15106" width="11.44140625" style="3"/>
    <col min="15107" max="15107" width="10.77734375" style="3" bestFit="1" customWidth="1"/>
    <col min="15108" max="15108" width="10.77734375" style="3" customWidth="1"/>
    <col min="15109" max="15109" width="11.21875" style="3" bestFit="1" customWidth="1"/>
    <col min="15110" max="15110" width="11.44140625" style="3"/>
    <col min="15111" max="15111" width="12.44140625" style="3" customWidth="1"/>
    <col min="15112" max="15112" width="11.44140625" style="3"/>
    <col min="15113" max="15113" width="9.77734375" style="3" bestFit="1" customWidth="1"/>
    <col min="15114" max="15114" width="12" style="3" bestFit="1" customWidth="1"/>
    <col min="15115" max="15115" width="11.44140625" style="3"/>
    <col min="15116" max="15116" width="12" style="3" bestFit="1" customWidth="1"/>
    <col min="15117" max="15117" width="10.44140625" style="3" customWidth="1"/>
    <col min="15118" max="15118" width="11.77734375" style="3" bestFit="1" customWidth="1"/>
    <col min="15119" max="15119" width="11.21875" style="3" bestFit="1" customWidth="1"/>
    <col min="15120" max="15122" width="11.44140625" style="3"/>
    <col min="15123" max="15123" width="2.21875" style="3" customWidth="1"/>
    <col min="15124" max="15359" width="11.44140625" style="3"/>
    <col min="15360" max="15360" width="3.21875" style="3" customWidth="1"/>
    <col min="15361" max="15361" width="33.77734375" style="3" customWidth="1"/>
    <col min="15362" max="15362" width="11.44140625" style="3"/>
    <col min="15363" max="15363" width="10.77734375" style="3" bestFit="1" customWidth="1"/>
    <col min="15364" max="15364" width="10.77734375" style="3" customWidth="1"/>
    <col min="15365" max="15365" width="11.21875" style="3" bestFit="1" customWidth="1"/>
    <col min="15366" max="15366" width="11.44140625" style="3"/>
    <col min="15367" max="15367" width="12.44140625" style="3" customWidth="1"/>
    <col min="15368" max="15368" width="11.44140625" style="3"/>
    <col min="15369" max="15369" width="9.77734375" style="3" bestFit="1" customWidth="1"/>
    <col min="15370" max="15370" width="12" style="3" bestFit="1" customWidth="1"/>
    <col min="15371" max="15371" width="11.44140625" style="3"/>
    <col min="15372" max="15372" width="12" style="3" bestFit="1" customWidth="1"/>
    <col min="15373" max="15373" width="10.44140625" style="3" customWidth="1"/>
    <col min="15374" max="15374" width="11.77734375" style="3" bestFit="1" customWidth="1"/>
    <col min="15375" max="15375" width="11.21875" style="3" bestFit="1" customWidth="1"/>
    <col min="15376" max="15378" width="11.44140625" style="3"/>
    <col min="15379" max="15379" width="2.21875" style="3" customWidth="1"/>
    <col min="15380" max="15615" width="11.44140625" style="3"/>
    <col min="15616" max="15616" width="3.21875" style="3" customWidth="1"/>
    <col min="15617" max="15617" width="33.77734375" style="3" customWidth="1"/>
    <col min="15618" max="15618" width="11.44140625" style="3"/>
    <col min="15619" max="15619" width="10.77734375" style="3" bestFit="1" customWidth="1"/>
    <col min="15620" max="15620" width="10.77734375" style="3" customWidth="1"/>
    <col min="15621" max="15621" width="11.21875" style="3" bestFit="1" customWidth="1"/>
    <col min="15622" max="15622" width="11.44140625" style="3"/>
    <col min="15623" max="15623" width="12.44140625" style="3" customWidth="1"/>
    <col min="15624" max="15624" width="11.44140625" style="3"/>
    <col min="15625" max="15625" width="9.77734375" style="3" bestFit="1" customWidth="1"/>
    <col min="15626" max="15626" width="12" style="3" bestFit="1" customWidth="1"/>
    <col min="15627" max="15627" width="11.44140625" style="3"/>
    <col min="15628" max="15628" width="12" style="3" bestFit="1" customWidth="1"/>
    <col min="15629" max="15629" width="10.44140625" style="3" customWidth="1"/>
    <col min="15630" max="15630" width="11.77734375" style="3" bestFit="1" customWidth="1"/>
    <col min="15631" max="15631" width="11.21875" style="3" bestFit="1" customWidth="1"/>
    <col min="15632" max="15634" width="11.44140625" style="3"/>
    <col min="15635" max="15635" width="2.21875" style="3" customWidth="1"/>
    <col min="15636" max="15871" width="11.44140625" style="3"/>
    <col min="15872" max="15872" width="3.21875" style="3" customWidth="1"/>
    <col min="15873" max="15873" width="33.77734375" style="3" customWidth="1"/>
    <col min="15874" max="15874" width="11.44140625" style="3"/>
    <col min="15875" max="15875" width="10.77734375" style="3" bestFit="1" customWidth="1"/>
    <col min="15876" max="15876" width="10.77734375" style="3" customWidth="1"/>
    <col min="15877" max="15877" width="11.21875" style="3" bestFit="1" customWidth="1"/>
    <col min="15878" max="15878" width="11.44140625" style="3"/>
    <col min="15879" max="15879" width="12.44140625" style="3" customWidth="1"/>
    <col min="15880" max="15880" width="11.44140625" style="3"/>
    <col min="15881" max="15881" width="9.77734375" style="3" bestFit="1" customWidth="1"/>
    <col min="15882" max="15882" width="12" style="3" bestFit="1" customWidth="1"/>
    <col min="15883" max="15883" width="11.44140625" style="3"/>
    <col min="15884" max="15884" width="12" style="3" bestFit="1" customWidth="1"/>
    <col min="15885" max="15885" width="10.44140625" style="3" customWidth="1"/>
    <col min="15886" max="15886" width="11.77734375" style="3" bestFit="1" customWidth="1"/>
    <col min="15887" max="15887" width="11.21875" style="3" bestFit="1" customWidth="1"/>
    <col min="15888" max="15890" width="11.44140625" style="3"/>
    <col min="15891" max="15891" width="2.21875" style="3" customWidth="1"/>
    <col min="15892" max="16127" width="11.44140625" style="3"/>
    <col min="16128" max="16128" width="3.21875" style="3" customWidth="1"/>
    <col min="16129" max="16129" width="33.77734375" style="3" customWidth="1"/>
    <col min="16130" max="16130" width="11.44140625" style="3"/>
    <col min="16131" max="16131" width="10.77734375" style="3" bestFit="1" customWidth="1"/>
    <col min="16132" max="16132" width="10.77734375" style="3" customWidth="1"/>
    <col min="16133" max="16133" width="11.21875" style="3" bestFit="1" customWidth="1"/>
    <col min="16134" max="16134" width="11.44140625" style="3"/>
    <col min="16135" max="16135" width="12.44140625" style="3" customWidth="1"/>
    <col min="16136" max="16136" width="11.44140625" style="3"/>
    <col min="16137" max="16137" width="9.77734375" style="3" bestFit="1" customWidth="1"/>
    <col min="16138" max="16138" width="12" style="3" bestFit="1" customWidth="1"/>
    <col min="16139" max="16139" width="11.44140625" style="3"/>
    <col min="16140" max="16140" width="12" style="3" bestFit="1" customWidth="1"/>
    <col min="16141" max="16141" width="10.44140625" style="3" customWidth="1"/>
    <col min="16142" max="16142" width="11.77734375" style="3" bestFit="1" customWidth="1"/>
    <col min="16143" max="16143" width="11.21875" style="3" bestFit="1" customWidth="1"/>
    <col min="16144" max="16146" width="11.44140625" style="3"/>
    <col min="16147" max="16147" width="2.21875" style="3" customWidth="1"/>
    <col min="16148" max="16384" width="11.44140625" style="3"/>
  </cols>
  <sheetData>
    <row r="1" spans="1:18" ht="27" x14ac:dyDescent="0.65">
      <c r="A1" s="1" t="s">
        <v>0</v>
      </c>
      <c r="B1" s="2"/>
      <c r="C1" s="2"/>
      <c r="D1" s="2"/>
      <c r="E1" s="2"/>
      <c r="F1" s="2"/>
      <c r="G1" s="2"/>
      <c r="H1" s="2"/>
      <c r="I1" s="2"/>
      <c r="J1" s="2"/>
      <c r="K1" s="2"/>
      <c r="L1" s="2"/>
      <c r="M1" s="2"/>
      <c r="N1" s="2"/>
      <c r="O1" s="2"/>
      <c r="P1" s="2"/>
      <c r="Q1" s="2"/>
      <c r="R1" s="2"/>
    </row>
    <row r="2" spans="1:18" x14ac:dyDescent="0.45">
      <c r="A2" s="2" t="str">
        <f>"(In "&amp;C10&amp;" Millions Except Per Share Data)"</f>
        <v>(In INR Millions Except Per Share Data)</v>
      </c>
      <c r="B2" s="2"/>
      <c r="C2" s="2"/>
      <c r="D2" s="2"/>
      <c r="E2" s="2"/>
      <c r="F2" s="2"/>
      <c r="G2" s="2"/>
      <c r="H2" s="2"/>
      <c r="I2" s="2"/>
      <c r="J2" s="2"/>
      <c r="K2" s="2"/>
      <c r="L2" s="2"/>
      <c r="M2" s="2"/>
      <c r="N2" s="2"/>
      <c r="O2" s="2"/>
      <c r="P2" s="2"/>
      <c r="Q2" s="2"/>
      <c r="R2" s="2"/>
    </row>
    <row r="3" spans="1:18" ht="17.399999999999999" thickBot="1" x14ac:dyDescent="0.5"/>
    <row r="4" spans="1:18" x14ac:dyDescent="0.45">
      <c r="A4" s="4" t="s">
        <v>2</v>
      </c>
      <c r="B4" s="5"/>
      <c r="C4" s="6"/>
    </row>
    <row r="5" spans="1:18" x14ac:dyDescent="0.45">
      <c r="A5" s="7" t="s">
        <v>3</v>
      </c>
      <c r="C5" s="8" t="s">
        <v>185</v>
      </c>
    </row>
    <row r="6" spans="1:18" x14ac:dyDescent="0.45">
      <c r="A6" s="7" t="s">
        <v>4</v>
      </c>
      <c r="C6" s="151">
        <v>45457</v>
      </c>
    </row>
    <row r="7" spans="1:18" x14ac:dyDescent="0.45">
      <c r="A7" s="7" t="s">
        <v>116</v>
      </c>
      <c r="C7" s="12" t="s">
        <v>197</v>
      </c>
    </row>
    <row r="8" spans="1:18" x14ac:dyDescent="0.45">
      <c r="A8" s="7" t="s">
        <v>8</v>
      </c>
      <c r="C8" s="151">
        <v>45016</v>
      </c>
    </row>
    <row r="9" spans="1:18" x14ac:dyDescent="0.45">
      <c r="A9" s="7" t="s">
        <v>16</v>
      </c>
      <c r="C9" s="151">
        <v>45382</v>
      </c>
    </row>
    <row r="10" spans="1:18" x14ac:dyDescent="0.45">
      <c r="A10" s="7" t="s">
        <v>17</v>
      </c>
      <c r="C10" s="8" t="s">
        <v>189</v>
      </c>
    </row>
    <row r="11" spans="1:18" ht="17.399999999999999" thickBot="1" x14ac:dyDescent="0.5">
      <c r="A11" s="24" t="s">
        <v>18</v>
      </c>
      <c r="B11" s="17"/>
      <c r="C11" s="152">
        <f>30%*1.12*1.04</f>
        <v>0.34944000000000003</v>
      </c>
    </row>
    <row r="13" spans="1:18" ht="17.399999999999999" thickBot="1" x14ac:dyDescent="0.5"/>
    <row r="14" spans="1:18" ht="17.399999999999999" thickBot="1" x14ac:dyDescent="0.5">
      <c r="A14" s="9" t="s">
        <v>19</v>
      </c>
      <c r="B14" s="10"/>
      <c r="C14" s="26" t="s">
        <v>20</v>
      </c>
      <c r="D14" s="26" t="s">
        <v>21</v>
      </c>
      <c r="E14" s="26" t="s">
        <v>22</v>
      </c>
      <c r="F14" s="11"/>
    </row>
    <row r="15" spans="1:18" x14ac:dyDescent="0.45">
      <c r="A15" s="7" t="s">
        <v>23</v>
      </c>
      <c r="C15" s="27">
        <v>305.64999999999998</v>
      </c>
      <c r="D15" s="27"/>
      <c r="E15" s="27"/>
      <c r="F15" s="28"/>
    </row>
    <row r="16" spans="1:18" x14ac:dyDescent="0.45">
      <c r="A16" s="7" t="s">
        <v>24</v>
      </c>
      <c r="C16">
        <f>3482063355/ml</f>
        <v>3482.0633549999998</v>
      </c>
      <c r="D16" s="27"/>
      <c r="E16" s="27"/>
      <c r="F16" s="29"/>
    </row>
    <row r="17" spans="1:15" x14ac:dyDescent="0.45">
      <c r="A17" s="7" t="s">
        <v>25</v>
      </c>
      <c r="C17" s="175">
        <f>C16+I45+C53+F60</f>
        <v>3482.0633549999998</v>
      </c>
      <c r="D17" s="135"/>
      <c r="E17" s="135"/>
      <c r="F17" s="29"/>
      <c r="G17" s="3" t="s">
        <v>194</v>
      </c>
      <c r="H17" s="3" t="s">
        <v>198</v>
      </c>
    </row>
    <row r="18" spans="1:15" x14ac:dyDescent="0.45">
      <c r="A18" s="7" t="s">
        <v>26</v>
      </c>
      <c r="C18" s="135">
        <f>C15*C17</f>
        <v>1064292.6644557498</v>
      </c>
      <c r="D18" s="135"/>
      <c r="E18" s="135"/>
      <c r="F18" s="30">
        <f>SUM(C18:E18)</f>
        <v>1064292.6644557498</v>
      </c>
      <c r="G18" s="3">
        <f>(696.41+23742.24)*10</f>
        <v>244386.5</v>
      </c>
      <c r="H18" s="123">
        <f>F18/G18</f>
        <v>4.3549568591380856</v>
      </c>
    </row>
    <row r="19" spans="1:15" x14ac:dyDescent="0.45">
      <c r="A19" s="7"/>
      <c r="C19" s="136" t="s">
        <v>144</v>
      </c>
      <c r="D19" s="136" t="s">
        <v>145</v>
      </c>
      <c r="E19" s="137" t="s">
        <v>146</v>
      </c>
      <c r="F19" s="138"/>
    </row>
    <row r="20" spans="1:15" x14ac:dyDescent="0.45">
      <c r="A20" s="33" t="s">
        <v>163</v>
      </c>
      <c r="C20" s="27"/>
      <c r="D20" s="27"/>
      <c r="E20" s="135"/>
      <c r="F20" s="30">
        <v>0</v>
      </c>
      <c r="H20" s="120">
        <v>2</v>
      </c>
      <c r="O20" s="3" t="s">
        <v>144</v>
      </c>
    </row>
    <row r="21" spans="1:15" x14ac:dyDescent="0.45">
      <c r="A21" s="33" t="s">
        <v>28</v>
      </c>
      <c r="E21" s="3" t="s">
        <v>165</v>
      </c>
      <c r="F21" s="138"/>
      <c r="H21" s="120"/>
      <c r="O21" s="3" t="s">
        <v>146</v>
      </c>
    </row>
    <row r="22" spans="1:15" x14ac:dyDescent="0.45">
      <c r="A22" s="33"/>
      <c r="B22" s="3" t="s">
        <v>149</v>
      </c>
      <c r="E22" s="27"/>
      <c r="F22" s="29"/>
      <c r="H22" s="120"/>
    </row>
    <row r="23" spans="1:15" x14ac:dyDescent="0.45">
      <c r="A23" s="7"/>
      <c r="B23" s="36" t="s">
        <v>150</v>
      </c>
      <c r="E23" s="135"/>
      <c r="F23" s="30">
        <v>0</v>
      </c>
      <c r="H23" s="120"/>
      <c r="O23" s="3" t="s">
        <v>147</v>
      </c>
    </row>
    <row r="24" spans="1:15" x14ac:dyDescent="0.45">
      <c r="A24" s="33" t="s">
        <v>29</v>
      </c>
      <c r="E24" s="3" t="s">
        <v>164</v>
      </c>
      <c r="F24" s="138"/>
      <c r="H24" s="120"/>
      <c r="O24" s="3" t="s">
        <v>148</v>
      </c>
    </row>
    <row r="25" spans="1:15" ht="15" customHeight="1" x14ac:dyDescent="0.45">
      <c r="A25" s="7"/>
      <c r="B25" s="36" t="s">
        <v>166</v>
      </c>
      <c r="E25" s="35">
        <f>8808*10</f>
        <v>88080</v>
      </c>
      <c r="F25" s="29"/>
      <c r="H25" s="120"/>
    </row>
    <row r="26" spans="1:15" ht="15" customHeight="1" x14ac:dyDescent="0.45">
      <c r="A26" s="7"/>
      <c r="B26" s="36" t="s">
        <v>153</v>
      </c>
      <c r="C26" s="36"/>
      <c r="E26" s="135"/>
      <c r="F26" s="30">
        <f>E25-E26</f>
        <v>88080</v>
      </c>
      <c r="H26" s="120"/>
      <c r="O26" s="3" t="s">
        <v>151</v>
      </c>
    </row>
    <row r="27" spans="1:15" x14ac:dyDescent="0.45">
      <c r="A27" s="33" t="s">
        <v>34</v>
      </c>
      <c r="E27" s="31"/>
      <c r="F27" s="29"/>
      <c r="O27" s="3" t="s">
        <v>152</v>
      </c>
    </row>
    <row r="28" spans="1:15" ht="15" customHeight="1" x14ac:dyDescent="0.45">
      <c r="A28" s="33"/>
      <c r="B28" s="3" t="s">
        <v>35</v>
      </c>
      <c r="E28" s="31"/>
      <c r="F28">
        <f>396.7*10</f>
        <v>3967</v>
      </c>
    </row>
    <row r="29" spans="1:15" x14ac:dyDescent="0.45">
      <c r="A29" s="7"/>
      <c r="B29" s="3" t="s">
        <v>36</v>
      </c>
      <c r="E29" s="31"/>
      <c r="F29" s="32">
        <f>(23.55+24.91)*10</f>
        <v>484.6</v>
      </c>
      <c r="H29" s="120"/>
      <c r="O29" s="3" t="s">
        <v>157</v>
      </c>
    </row>
    <row r="30" spans="1:15" x14ac:dyDescent="0.45">
      <c r="A30" s="33" t="s">
        <v>37</v>
      </c>
      <c r="E30" s="31"/>
      <c r="F30" s="32">
        <f>(1835.04+4322.43)*10</f>
        <v>61574.700000000004</v>
      </c>
      <c r="O30" s="3" t="s">
        <v>158</v>
      </c>
    </row>
    <row r="31" spans="1:15" x14ac:dyDescent="0.45">
      <c r="A31" s="33" t="s">
        <v>137</v>
      </c>
      <c r="E31" s="31"/>
      <c r="F31" s="32">
        <f>(254.48+1.19)*10</f>
        <v>2556.6999999999998</v>
      </c>
    </row>
    <row r="32" spans="1:15" ht="17.399999999999999" thickBot="1" x14ac:dyDescent="0.5">
      <c r="A32" s="46" t="s">
        <v>19</v>
      </c>
      <c r="B32" s="47"/>
      <c r="C32" s="47"/>
      <c r="D32" s="48"/>
      <c r="E32" s="48"/>
      <c r="F32" s="139">
        <f>F18+F20+F23+F26+F29-F30-F31+F28</f>
        <v>1092692.86445575</v>
      </c>
    </row>
    <row r="33" spans="1:18" ht="15" customHeight="1" x14ac:dyDescent="0.45">
      <c r="A33" s="3" t="s">
        <v>39</v>
      </c>
      <c r="F33" s="140">
        <f>F18/SUM(C17:E17)</f>
        <v>305.64999999999998</v>
      </c>
    </row>
    <row r="34" spans="1:18" ht="17.399999999999999" thickBot="1" x14ac:dyDescent="0.5">
      <c r="H34" s="51"/>
      <c r="I34" s="51"/>
      <c r="J34" s="51"/>
    </row>
    <row r="35" spans="1:18" ht="17.399999999999999" thickBot="1" x14ac:dyDescent="0.5">
      <c r="A35" s="9" t="s">
        <v>1</v>
      </c>
      <c r="B35" s="10"/>
      <c r="C35" s="10"/>
      <c r="D35" s="10"/>
      <c r="E35" s="10"/>
      <c r="F35" s="10"/>
      <c r="G35" s="10"/>
      <c r="H35" s="10"/>
      <c r="I35" s="11"/>
      <c r="J35" s="51"/>
      <c r="K35" s="51"/>
      <c r="L35" s="51"/>
      <c r="M35" s="51"/>
      <c r="N35" s="51"/>
      <c r="O35" s="51"/>
      <c r="P35" s="51"/>
    </row>
    <row r="36" spans="1:18" ht="17.399999999999999" thickBot="1" x14ac:dyDescent="0.5">
      <c r="H36" s="51"/>
      <c r="I36" s="51"/>
      <c r="J36" s="51"/>
      <c r="K36" s="51"/>
      <c r="L36" s="51"/>
      <c r="M36" s="51"/>
      <c r="N36" s="51"/>
      <c r="O36" s="51"/>
      <c r="P36" s="51"/>
      <c r="Q36" s="51"/>
      <c r="R36" s="51"/>
    </row>
    <row r="37" spans="1:18" x14ac:dyDescent="0.45">
      <c r="B37" s="192" t="s">
        <v>138</v>
      </c>
      <c r="C37" s="193"/>
      <c r="D37" s="193"/>
      <c r="E37" s="193"/>
      <c r="F37" s="193"/>
      <c r="G37" s="193"/>
      <c r="H37" s="193"/>
      <c r="I37" s="194"/>
      <c r="K37" s="51"/>
      <c r="L37" s="51"/>
      <c r="M37" s="51"/>
      <c r="N37" s="51"/>
      <c r="O37" s="51"/>
      <c r="P37" s="51"/>
      <c r="Q37" s="51"/>
      <c r="R37" s="51"/>
    </row>
    <row r="38" spans="1:18" ht="16.05" customHeight="1" x14ac:dyDescent="0.45">
      <c r="B38" s="161"/>
      <c r="C38" s="195" t="s">
        <v>89</v>
      </c>
      <c r="D38" s="162" t="s">
        <v>5</v>
      </c>
      <c r="E38" s="163"/>
      <c r="F38" s="197" t="s">
        <v>6</v>
      </c>
      <c r="G38" s="197"/>
      <c r="H38" s="197"/>
      <c r="I38" s="164" t="s">
        <v>7</v>
      </c>
      <c r="J38" s="51"/>
      <c r="K38" s="51"/>
      <c r="L38" s="51"/>
      <c r="M38" s="51"/>
      <c r="N38" s="51"/>
      <c r="O38" s="51"/>
      <c r="P38" s="51"/>
      <c r="Q38" s="51"/>
      <c r="R38" s="51"/>
    </row>
    <row r="39" spans="1:18" x14ac:dyDescent="0.45">
      <c r="B39" s="165"/>
      <c r="C39" s="196"/>
      <c r="D39" s="158" t="s">
        <v>10</v>
      </c>
      <c r="E39" s="158" t="s">
        <v>11</v>
      </c>
      <c r="F39" s="158" t="s">
        <v>12</v>
      </c>
      <c r="G39" s="160" t="s">
        <v>13</v>
      </c>
      <c r="H39" s="160" t="s">
        <v>14</v>
      </c>
      <c r="I39" s="166" t="s">
        <v>15</v>
      </c>
      <c r="J39" s="51"/>
      <c r="K39" s="51"/>
      <c r="L39" s="51"/>
      <c r="M39" s="51"/>
      <c r="N39" s="51"/>
      <c r="O39" s="51"/>
      <c r="P39" s="51"/>
      <c r="Q39" s="51"/>
      <c r="R39" s="51"/>
    </row>
    <row r="40" spans="1:18" x14ac:dyDescent="0.45">
      <c r="B40" s="165" t="s">
        <v>199</v>
      </c>
      <c r="C40" s="128"/>
      <c r="D40" s="128"/>
      <c r="E40" s="141"/>
      <c r="F40" s="128">
        <f>IF(E40="INTM",C40,0)</f>
        <v>0</v>
      </c>
      <c r="G40" s="170">
        <f>F40*D40</f>
        <v>0</v>
      </c>
      <c r="H40" s="171">
        <f>G40/$C$15</f>
        <v>0</v>
      </c>
      <c r="I40" s="172">
        <f>F40-H40</f>
        <v>0</v>
      </c>
      <c r="J40" s="51"/>
      <c r="K40" s="51"/>
      <c r="L40" s="51"/>
      <c r="M40" s="51"/>
      <c r="N40" s="51"/>
      <c r="O40" s="51"/>
      <c r="P40" s="51"/>
      <c r="Q40" s="51"/>
      <c r="R40" s="51"/>
    </row>
    <row r="41" spans="1:18" x14ac:dyDescent="0.45">
      <c r="B41" s="165" t="s">
        <v>200</v>
      </c>
      <c r="C41" s="128"/>
      <c r="D41" s="128"/>
      <c r="E41" s="141"/>
      <c r="F41" s="128">
        <f t="shared" ref="F41:F44" si="0">IF(E41="INTM",C41,0)</f>
        <v>0</v>
      </c>
      <c r="G41" s="170">
        <f t="shared" ref="G41:G44" si="1">F41*D41</f>
        <v>0</v>
      </c>
      <c r="H41" s="171">
        <f t="shared" ref="H41:H44" si="2">G41/$C$15</f>
        <v>0</v>
      </c>
      <c r="I41" s="172">
        <f t="shared" ref="I41:I44" si="3">F41-H41</f>
        <v>0</v>
      </c>
      <c r="J41" s="51"/>
      <c r="K41" s="51"/>
      <c r="L41" s="51"/>
      <c r="M41" s="51"/>
      <c r="N41" s="51"/>
      <c r="O41" s="51"/>
      <c r="P41" s="51"/>
      <c r="Q41" s="51"/>
      <c r="R41" s="51"/>
    </row>
    <row r="42" spans="1:18" x14ac:dyDescent="0.45">
      <c r="B42" s="165" t="s">
        <v>201</v>
      </c>
      <c r="C42" s="128"/>
      <c r="D42" s="128"/>
      <c r="E42" s="141"/>
      <c r="F42" s="128">
        <f t="shared" si="0"/>
        <v>0</v>
      </c>
      <c r="G42" s="170">
        <f t="shared" si="1"/>
        <v>0</v>
      </c>
      <c r="H42" s="171">
        <f t="shared" si="2"/>
        <v>0</v>
      </c>
      <c r="I42" s="172">
        <f t="shared" si="3"/>
        <v>0</v>
      </c>
      <c r="J42" s="51"/>
      <c r="K42" s="51"/>
      <c r="L42" s="51"/>
      <c r="M42" s="51"/>
      <c r="N42" s="51"/>
      <c r="O42" s="51"/>
      <c r="P42" s="51"/>
      <c r="Q42" s="51"/>
      <c r="R42" s="51"/>
    </row>
    <row r="43" spans="1:18" x14ac:dyDescent="0.45">
      <c r="B43" s="165" t="s">
        <v>202</v>
      </c>
      <c r="C43" s="128"/>
      <c r="D43" s="128"/>
      <c r="E43" s="141"/>
      <c r="F43" s="128">
        <f t="shared" si="0"/>
        <v>0</v>
      </c>
      <c r="G43" s="170">
        <f t="shared" si="1"/>
        <v>0</v>
      </c>
      <c r="H43" s="171">
        <f t="shared" si="2"/>
        <v>0</v>
      </c>
      <c r="I43" s="172">
        <f t="shared" si="3"/>
        <v>0</v>
      </c>
      <c r="J43" s="51"/>
      <c r="K43" s="51"/>
      <c r="L43" s="51"/>
      <c r="M43" s="51"/>
      <c r="N43" s="51"/>
      <c r="O43" s="51"/>
      <c r="P43" s="51"/>
      <c r="Q43" s="51"/>
      <c r="R43" s="51"/>
    </row>
    <row r="44" spans="1:18" x14ac:dyDescent="0.45">
      <c r="B44" s="165" t="s">
        <v>203</v>
      </c>
      <c r="C44" s="159"/>
      <c r="D44" s="159"/>
      <c r="E44" s="159"/>
      <c r="F44" s="128">
        <f t="shared" si="0"/>
        <v>0</v>
      </c>
      <c r="G44" s="170">
        <f t="shared" si="1"/>
        <v>0</v>
      </c>
      <c r="H44" s="171">
        <f t="shared" si="2"/>
        <v>0</v>
      </c>
      <c r="I44" s="172">
        <f t="shared" si="3"/>
        <v>0</v>
      </c>
      <c r="J44" s="51"/>
      <c r="K44" s="51"/>
      <c r="L44" s="51"/>
      <c r="M44" s="51"/>
      <c r="N44" s="51"/>
      <c r="O44" s="51"/>
      <c r="P44" s="51"/>
      <c r="Q44" s="51"/>
      <c r="R44" s="51"/>
    </row>
    <row r="45" spans="1:18" x14ac:dyDescent="0.45">
      <c r="B45" s="167"/>
      <c r="C45" s="168"/>
      <c r="D45" s="168"/>
      <c r="E45" s="168"/>
      <c r="F45" s="168"/>
      <c r="G45" s="168"/>
      <c r="H45" s="168"/>
      <c r="I45" s="173">
        <f>SUM(I40:I44)</f>
        <v>0</v>
      </c>
      <c r="J45" s="51"/>
      <c r="K45" s="51"/>
      <c r="L45" s="51"/>
      <c r="M45" s="51"/>
      <c r="N45" s="51"/>
      <c r="O45" s="51"/>
      <c r="P45" s="51"/>
      <c r="Q45" s="51"/>
      <c r="R45" s="51"/>
    </row>
    <row r="46" spans="1:18" ht="17.399999999999999" thickBot="1" x14ac:dyDescent="0.5">
      <c r="H46" s="51"/>
      <c r="I46" s="51"/>
      <c r="J46" s="51"/>
      <c r="K46" s="51"/>
      <c r="L46" s="51"/>
      <c r="M46" s="51"/>
      <c r="N46" s="51"/>
      <c r="O46" s="51"/>
      <c r="P46" s="51"/>
      <c r="Q46" s="51"/>
      <c r="R46" s="51"/>
    </row>
    <row r="47" spans="1:18" ht="17.399999999999999" thickBot="1" x14ac:dyDescent="0.5">
      <c r="B47" s="9" t="s">
        <v>136</v>
      </c>
      <c r="C47" s="11"/>
      <c r="H47" s="51"/>
      <c r="I47" s="51"/>
      <c r="K47" s="51"/>
      <c r="L47" s="51"/>
      <c r="M47" s="51"/>
      <c r="N47" s="51"/>
      <c r="O47" s="51"/>
      <c r="P47" s="51"/>
      <c r="Q47" s="51"/>
      <c r="R47" s="51"/>
    </row>
    <row r="48" spans="1:18" x14ac:dyDescent="0.45">
      <c r="B48" s="39" t="s">
        <v>32</v>
      </c>
      <c r="C48" s="149"/>
      <c r="D48" s="40"/>
      <c r="E48" s="148"/>
      <c r="F48" s="41"/>
      <c r="H48" s="51"/>
      <c r="I48" s="51"/>
      <c r="K48" s="51"/>
      <c r="L48" s="51"/>
      <c r="M48" s="51"/>
      <c r="N48" s="51"/>
      <c r="O48" s="51"/>
      <c r="P48" s="51"/>
      <c r="Q48" s="51"/>
      <c r="R48" s="51"/>
    </row>
    <row r="49" spans="1:18" x14ac:dyDescent="0.45">
      <c r="B49" s="7"/>
      <c r="C49" s="118"/>
      <c r="D49" s="116"/>
      <c r="E49" s="117"/>
      <c r="F49" s="117"/>
      <c r="H49" s="51"/>
      <c r="I49" s="51"/>
      <c r="K49" s="51"/>
      <c r="L49" s="51"/>
      <c r="M49" s="51"/>
      <c r="N49" s="51"/>
      <c r="O49" s="51"/>
      <c r="P49" s="51"/>
      <c r="Q49" s="51"/>
      <c r="R49" s="51"/>
    </row>
    <row r="50" spans="1:18" x14ac:dyDescent="0.45">
      <c r="B50" s="7"/>
      <c r="C50" s="118"/>
      <c r="D50" s="116"/>
      <c r="E50" s="117"/>
      <c r="F50" s="117"/>
      <c r="H50" s="51"/>
      <c r="I50" s="51"/>
      <c r="K50" s="51"/>
      <c r="L50" s="51"/>
      <c r="M50" s="51"/>
      <c r="N50" s="51"/>
      <c r="O50" s="51"/>
      <c r="P50" s="51"/>
      <c r="Q50" s="51"/>
      <c r="R50" s="51"/>
    </row>
    <row r="51" spans="1:18" x14ac:dyDescent="0.45">
      <c r="B51" s="7"/>
      <c r="C51" s="118"/>
      <c r="D51" s="116"/>
      <c r="E51" s="117"/>
      <c r="F51" s="117"/>
      <c r="H51" s="51"/>
      <c r="I51" s="51"/>
      <c r="K51" s="51"/>
      <c r="L51" s="51"/>
      <c r="M51" s="51"/>
      <c r="N51" s="51"/>
      <c r="O51" s="51"/>
      <c r="P51" s="51"/>
      <c r="Q51" s="51"/>
      <c r="R51" s="51"/>
    </row>
    <row r="52" spans="1:18" x14ac:dyDescent="0.45">
      <c r="B52" s="7"/>
      <c r="C52" s="118"/>
      <c r="D52" s="116"/>
      <c r="E52" s="117"/>
      <c r="F52" s="117"/>
      <c r="H52" s="51"/>
      <c r="I52" s="51"/>
      <c r="K52" s="51"/>
      <c r="L52" s="51"/>
      <c r="M52" s="51"/>
      <c r="N52" s="51"/>
      <c r="O52" s="51"/>
      <c r="P52" s="51"/>
      <c r="Q52" s="51"/>
      <c r="R52" s="51"/>
    </row>
    <row r="53" spans="1:18" ht="17.399999999999999" thickBot="1" x14ac:dyDescent="0.5">
      <c r="B53" s="24"/>
      <c r="C53" s="45"/>
      <c r="D53" s="116"/>
      <c r="E53" s="116"/>
      <c r="F53" s="117"/>
      <c r="H53" s="51"/>
      <c r="I53" s="51"/>
      <c r="K53" s="51"/>
      <c r="L53" s="51"/>
      <c r="M53" s="51"/>
      <c r="N53" s="51"/>
      <c r="O53" s="51"/>
      <c r="P53" s="51"/>
      <c r="Q53" s="51"/>
      <c r="R53" s="51"/>
    </row>
    <row r="54" spans="1:18" ht="17.399999999999999" thickBot="1" x14ac:dyDescent="0.5">
      <c r="H54" s="51"/>
      <c r="I54" s="51"/>
      <c r="K54" s="51"/>
      <c r="L54" s="51"/>
      <c r="M54" s="51"/>
      <c r="N54" s="51"/>
      <c r="O54" s="51"/>
      <c r="P54" s="51"/>
      <c r="Q54" s="51"/>
      <c r="R54" s="51"/>
    </row>
    <row r="55" spans="1:18" ht="17.399999999999999" thickBot="1" x14ac:dyDescent="0.5">
      <c r="B55" s="9" t="s">
        <v>154</v>
      </c>
      <c r="C55" s="10"/>
      <c r="D55" s="10"/>
      <c r="E55" s="10"/>
      <c r="F55" s="11"/>
      <c r="H55" s="51"/>
      <c r="I55" s="51"/>
      <c r="K55" s="51"/>
      <c r="L55" s="51"/>
      <c r="M55" s="51"/>
      <c r="N55" s="51"/>
      <c r="O55" s="51"/>
      <c r="P55" s="51"/>
      <c r="Q55" s="51"/>
      <c r="R55" s="51"/>
    </row>
    <row r="56" spans="1:18" ht="16.05" customHeight="1" x14ac:dyDescent="0.45">
      <c r="B56" s="37"/>
      <c r="C56" s="38"/>
      <c r="D56" s="38"/>
      <c r="E56" s="180" t="s">
        <v>30</v>
      </c>
      <c r="F56" s="182" t="s">
        <v>31</v>
      </c>
      <c r="H56" s="51"/>
      <c r="I56" s="51"/>
      <c r="K56" s="51"/>
      <c r="L56" s="51"/>
      <c r="M56" s="51"/>
      <c r="N56" s="51"/>
      <c r="O56" s="51"/>
      <c r="P56" s="51"/>
      <c r="Q56" s="51"/>
      <c r="R56" s="51"/>
    </row>
    <row r="57" spans="1:18" x14ac:dyDescent="0.45">
      <c r="B57" s="39" t="s">
        <v>32</v>
      </c>
      <c r="C57" s="40" t="s">
        <v>33</v>
      </c>
      <c r="D57" s="40" t="s">
        <v>155</v>
      </c>
      <c r="E57" s="181"/>
      <c r="F57" s="183"/>
      <c r="H57" s="51"/>
      <c r="I57" s="51"/>
      <c r="K57" s="51"/>
      <c r="L57" s="51"/>
      <c r="M57" s="51"/>
      <c r="N57" s="51"/>
      <c r="O57" s="51"/>
      <c r="P57" s="51"/>
      <c r="Q57" s="51"/>
      <c r="R57" s="51"/>
    </row>
    <row r="58" spans="1:18" x14ac:dyDescent="0.45">
      <c r="B58" s="7"/>
      <c r="C58" s="27"/>
      <c r="D58" s="27"/>
      <c r="E58" s="42"/>
      <c r="F58" s="43"/>
      <c r="H58" s="51"/>
      <c r="I58" s="51"/>
      <c r="K58" s="51"/>
      <c r="L58" s="51"/>
      <c r="M58" s="51"/>
      <c r="N58" s="51"/>
      <c r="O58" s="51"/>
      <c r="P58" s="51"/>
      <c r="Q58" s="51"/>
      <c r="R58" s="51"/>
    </row>
    <row r="59" spans="1:18" x14ac:dyDescent="0.45">
      <c r="B59" s="7"/>
      <c r="C59" s="27"/>
      <c r="D59" s="27"/>
      <c r="E59" s="42"/>
      <c r="F59" s="43"/>
      <c r="H59" s="51"/>
      <c r="I59" s="51"/>
      <c r="K59" s="51"/>
      <c r="L59" s="51"/>
      <c r="M59" s="51"/>
      <c r="N59" s="51"/>
      <c r="O59" s="51"/>
      <c r="P59" s="51"/>
      <c r="Q59" s="51"/>
      <c r="R59" s="51"/>
    </row>
    <row r="60" spans="1:18" ht="17.399999999999999" thickBot="1" x14ac:dyDescent="0.5">
      <c r="B60" s="24"/>
      <c r="C60" s="44"/>
      <c r="D60" s="44"/>
      <c r="E60" s="44"/>
      <c r="F60" s="45"/>
      <c r="H60" s="51"/>
      <c r="I60" s="51"/>
      <c r="K60" s="51"/>
      <c r="L60" s="51"/>
      <c r="M60" s="51"/>
      <c r="N60" s="51"/>
      <c r="O60" s="51"/>
      <c r="P60" s="51"/>
      <c r="Q60" s="51"/>
      <c r="R60" s="51"/>
    </row>
    <row r="61" spans="1:18" x14ac:dyDescent="0.45">
      <c r="H61" s="51"/>
      <c r="I61" s="51"/>
      <c r="J61" s="51"/>
      <c r="K61" s="51"/>
      <c r="L61" s="51"/>
      <c r="M61" s="51"/>
      <c r="N61" s="51"/>
      <c r="O61" s="51"/>
      <c r="P61" s="51"/>
      <c r="Q61" s="51"/>
      <c r="R61" s="51"/>
    </row>
    <row r="62" spans="1:18" x14ac:dyDescent="0.45">
      <c r="I62" s="190" t="s">
        <v>139</v>
      </c>
      <c r="J62" s="190"/>
      <c r="K62" s="190"/>
      <c r="L62" s="191" t="s">
        <v>140</v>
      </c>
      <c r="M62" s="191"/>
    </row>
    <row r="63" spans="1:18" ht="16.05" customHeight="1" x14ac:dyDescent="0.45">
      <c r="A63" s="2" t="s">
        <v>40</v>
      </c>
      <c r="B63" s="2"/>
      <c r="C63" s="2"/>
      <c r="D63" s="2"/>
      <c r="E63" s="52" t="s">
        <v>41</v>
      </c>
      <c r="F63" s="52" t="s">
        <v>42</v>
      </c>
      <c r="G63" s="52" t="s">
        <v>43</v>
      </c>
      <c r="H63" s="52" t="s">
        <v>44</v>
      </c>
      <c r="I63" s="53" t="s">
        <v>45</v>
      </c>
      <c r="J63" s="53" t="s">
        <v>46</v>
      </c>
      <c r="K63" s="53" t="s">
        <v>47</v>
      </c>
      <c r="L63" s="53" t="s">
        <v>45</v>
      </c>
      <c r="M63" s="53" t="s">
        <v>46</v>
      </c>
      <c r="O63" s="120" t="s">
        <v>156</v>
      </c>
    </row>
    <row r="64" spans="1:18" x14ac:dyDescent="0.45">
      <c r="E64" s="120" t="s">
        <v>48</v>
      </c>
      <c r="F64" s="122">
        <f>YEARFRAC(C8,C9)*12</f>
        <v>12</v>
      </c>
      <c r="G64" s="122">
        <f>F64</f>
        <v>12</v>
      </c>
      <c r="H64" s="121">
        <f>C9</f>
        <v>45382</v>
      </c>
      <c r="I64" s="125">
        <v>45747</v>
      </c>
      <c r="J64" s="125">
        <f>EDATE(I64,12)</f>
        <v>46112</v>
      </c>
      <c r="K64" s="125">
        <f>EDATE(J64,12)</f>
        <v>46477</v>
      </c>
      <c r="L64" s="126">
        <v>45747</v>
      </c>
      <c r="M64" s="127">
        <f>EDATE(L64,12)</f>
        <v>46112</v>
      </c>
    </row>
    <row r="65" spans="1:20" ht="17.399999999999999" thickBot="1" x14ac:dyDescent="0.5">
      <c r="A65" s="3" t="s">
        <v>49</v>
      </c>
      <c r="E65">
        <f>23892.78*10</f>
        <v>238927.8</v>
      </c>
      <c r="F65" s="27"/>
      <c r="G65" s="54"/>
      <c r="H65">
        <f>23892.78*10</f>
        <v>238927.8</v>
      </c>
      <c r="I65" s="207">
        <v>316441</v>
      </c>
      <c r="J65" s="207">
        <v>400761</v>
      </c>
      <c r="K65" s="27"/>
      <c r="L65" s="55">
        <f>I65*(1-YEARFRAC(I$64,L$64))+J65*YEARFRAC(I$64,L$64)</f>
        <v>316441</v>
      </c>
      <c r="M65" s="55">
        <f>J65*(1-YEARFRAC(J$64,M$64))+K65*YEARFRAC(J$64,M$64)</f>
        <v>400761</v>
      </c>
      <c r="O65" s="145">
        <f>IFERROR((K65/E65)^(1/3)-1,0)</f>
        <v>-1</v>
      </c>
      <c r="T65" s="123"/>
    </row>
    <row r="66" spans="1:20" ht="5.25" customHeight="1" x14ac:dyDescent="0.5">
      <c r="E66" s="31"/>
      <c r="F66" s="31"/>
      <c r="G66" s="31"/>
      <c r="H66" s="31"/>
      <c r="I66" s="208"/>
      <c r="J66" s="208"/>
    </row>
    <row r="67" spans="1:20" ht="18" x14ac:dyDescent="0.5">
      <c r="A67" s="3" t="s">
        <v>50</v>
      </c>
      <c r="E67">
        <f>(178.68-546.27+731.29)*10</f>
        <v>3637</v>
      </c>
      <c r="F67" s="27"/>
      <c r="G67" s="27"/>
      <c r="H67">
        <f>(178.68-546.27+731.29)*10</f>
        <v>3637</v>
      </c>
      <c r="I67" s="208"/>
      <c r="J67" s="208"/>
      <c r="L67" s="57"/>
      <c r="M67" s="57"/>
      <c r="T67" s="57"/>
    </row>
    <row r="68" spans="1:20" s="49" customFormat="1" ht="18" x14ac:dyDescent="0.5">
      <c r="A68" s="3" t="s">
        <v>51</v>
      </c>
      <c r="E68" s="27">
        <v>0</v>
      </c>
      <c r="F68" s="27"/>
      <c r="G68" s="27"/>
      <c r="H68" s="27">
        <v>0</v>
      </c>
      <c r="I68" s="209"/>
      <c r="J68" s="209"/>
      <c r="L68" s="124"/>
    </row>
    <row r="69" spans="1:20" s="49" customFormat="1" ht="17.399999999999999" thickBot="1" x14ac:dyDescent="0.5">
      <c r="A69" s="56" t="s">
        <v>52</v>
      </c>
      <c r="E69" s="142">
        <f>SUM(E67:E68)</f>
        <v>3637</v>
      </c>
      <c r="F69" s="142"/>
      <c r="G69" s="142"/>
      <c r="H69" s="142">
        <f>SUM(H67:H68)</f>
        <v>3637</v>
      </c>
      <c r="I69" s="207">
        <v>18212</v>
      </c>
      <c r="J69" s="207">
        <v>37905</v>
      </c>
      <c r="K69" s="27"/>
      <c r="L69" s="55">
        <f>I69*(1-YEARFRAC(I$64,L$64))+J69*YEARFRAC(I$64,L$64)</f>
        <v>18212</v>
      </c>
      <c r="M69" s="55">
        <f>J69*(1-YEARFRAC(J$64,M$64))+K69*YEARFRAC(J$64,M$64)</f>
        <v>37905</v>
      </c>
      <c r="O69" s="145">
        <f>IFERROR((K69/E69)^(1/3)-1,0)</f>
        <v>-1</v>
      </c>
    </row>
    <row r="70" spans="1:20" ht="18" x14ac:dyDescent="0.5">
      <c r="A70" s="3" t="s">
        <v>53</v>
      </c>
      <c r="E70" s="27">
        <f>248.9*10</f>
        <v>2489</v>
      </c>
      <c r="F70" s="27"/>
      <c r="G70" s="27"/>
      <c r="H70" s="27">
        <f>248.9*10</f>
        <v>2489</v>
      </c>
      <c r="I70" s="208"/>
      <c r="J70" s="208"/>
    </row>
    <row r="71" spans="1:20" s="49" customFormat="1" ht="17.399999999999999" thickBot="1" x14ac:dyDescent="0.5">
      <c r="A71" s="49" t="s">
        <v>54</v>
      </c>
      <c r="E71" s="142">
        <f>SUM(E69:E70)</f>
        <v>6126</v>
      </c>
      <c r="F71" s="142"/>
      <c r="G71" s="142"/>
      <c r="H71" s="142">
        <f>SUM(H69:H70)</f>
        <v>6126</v>
      </c>
      <c r="I71" s="207">
        <v>20951</v>
      </c>
      <c r="J71" s="207">
        <v>39844</v>
      </c>
      <c r="K71" s="27"/>
      <c r="L71" s="55">
        <f>I71*(1-YEARFRAC(I$64,L$64))+J71*YEARFRAC(I$64,L$64)</f>
        <v>20951</v>
      </c>
      <c r="M71" s="55">
        <f>J71*(1-YEARFRAC(J$64,M$64))+K71*YEARFRAC(J$64,M$64)</f>
        <v>39844</v>
      </c>
      <c r="O71" s="145">
        <f>IFERROR((K71/E71)^(1/3)-1,0)</f>
        <v>-1</v>
      </c>
    </row>
    <row r="72" spans="1:20" ht="6" customHeight="1" x14ac:dyDescent="0.5">
      <c r="E72" s="31"/>
      <c r="F72" s="31"/>
      <c r="G72" s="31"/>
      <c r="H72" s="31"/>
      <c r="I72" s="208"/>
      <c r="J72" s="208"/>
    </row>
    <row r="73" spans="1:20" ht="18" x14ac:dyDescent="0.5">
      <c r="A73" s="3" t="s">
        <v>167</v>
      </c>
      <c r="E73">
        <f>282.22*10</f>
        <v>2822.2000000000003</v>
      </c>
      <c r="F73" s="27"/>
      <c r="G73" s="27"/>
      <c r="H73">
        <f>282.22*10</f>
        <v>2822.2000000000003</v>
      </c>
      <c r="I73" s="208"/>
      <c r="J73" s="208"/>
    </row>
    <row r="74" spans="1:20" ht="18" x14ac:dyDescent="0.5">
      <c r="A74" s="3" t="s">
        <v>55</v>
      </c>
      <c r="E74" s="135">
        <f>E68</f>
        <v>0</v>
      </c>
      <c r="F74" s="135"/>
      <c r="G74" s="135"/>
      <c r="H74" s="135">
        <f>H68</f>
        <v>0</v>
      </c>
      <c r="I74" s="208"/>
      <c r="J74" s="208"/>
    </row>
    <row r="75" spans="1:20" ht="18" x14ac:dyDescent="0.5">
      <c r="A75" s="3" t="s">
        <v>56</v>
      </c>
      <c r="E75" s="27">
        <f>-7.78*10</f>
        <v>-77.8</v>
      </c>
      <c r="F75" s="27"/>
      <c r="G75" s="27"/>
      <c r="H75" s="27">
        <f>-7.78*10</f>
        <v>-77.8</v>
      </c>
      <c r="I75" s="208"/>
      <c r="J75" s="208"/>
    </row>
    <row r="76" spans="1:20" ht="18" x14ac:dyDescent="0.5">
      <c r="A76" s="3" t="s">
        <v>57</v>
      </c>
      <c r="E76" s="135">
        <f>-E75*$C$11</f>
        <v>27.186432</v>
      </c>
      <c r="F76" s="135"/>
      <c r="G76" s="135"/>
      <c r="H76" s="135">
        <f>-H75*$C$11</f>
        <v>27.186432</v>
      </c>
      <c r="I76" s="208"/>
      <c r="J76" s="208"/>
    </row>
    <row r="77" spans="1:20" s="49" customFormat="1" ht="17.399999999999999" thickBot="1" x14ac:dyDescent="0.5">
      <c r="A77" s="49" t="s">
        <v>120</v>
      </c>
      <c r="E77" s="143">
        <f>SUM(E73:E76)</f>
        <v>2771.5864320000001</v>
      </c>
      <c r="F77" s="143"/>
      <c r="G77" s="143"/>
      <c r="H77" s="143">
        <f>SUM(H73:H76)</f>
        <v>2771.5864320000001</v>
      </c>
      <c r="I77" s="207">
        <v>13737</v>
      </c>
      <c r="J77" s="207">
        <v>29578</v>
      </c>
      <c r="K77" s="27"/>
      <c r="L77" s="55">
        <f>I77*(1-YEARFRAC(I$64,L$64))+J77*YEARFRAC(I$64,L$64)</f>
        <v>13737</v>
      </c>
      <c r="M77" s="55">
        <f>J77*(1-YEARFRAC(J$64,M$64))+K77*YEARFRAC(J$64,M$64)</f>
        <v>29578</v>
      </c>
      <c r="O77" s="145">
        <f>IFERROR((K77/E77)^(1/3)-1,0)</f>
        <v>-1</v>
      </c>
    </row>
    <row r="78" spans="1:20" ht="18" x14ac:dyDescent="0.5">
      <c r="E78" s="31"/>
      <c r="F78" s="31"/>
      <c r="G78" s="31"/>
      <c r="H78" s="31"/>
      <c r="I78" s="208"/>
      <c r="J78" s="208"/>
    </row>
    <row r="79" spans="1:20" ht="18" x14ac:dyDescent="0.5">
      <c r="A79" s="3" t="s">
        <v>58</v>
      </c>
      <c r="E79" s="27">
        <f>E73/0.81</f>
        <v>3484.1975308641977</v>
      </c>
      <c r="F79" s="27"/>
      <c r="G79" s="27"/>
      <c r="H79" s="27">
        <f>H73/0.81</f>
        <v>3484.1975308641977</v>
      </c>
      <c r="I79" s="208"/>
      <c r="J79" s="208"/>
    </row>
    <row r="80" spans="1:20" ht="17.399999999999999" thickBot="1" x14ac:dyDescent="0.5">
      <c r="A80" s="3" t="s">
        <v>59</v>
      </c>
      <c r="E80" s="144">
        <f>E73/E79</f>
        <v>0.81</v>
      </c>
      <c r="F80" s="144"/>
      <c r="G80" s="144"/>
      <c r="H80" s="144">
        <f>H73/H79</f>
        <v>0.81</v>
      </c>
      <c r="I80" s="210">
        <v>4.0090000000000003</v>
      </c>
      <c r="J80" s="210">
        <v>8.109</v>
      </c>
      <c r="K80" s="27"/>
      <c r="L80" s="55">
        <f>I80*(1-YEARFRAC(I$64,L$64))+J80*YEARFRAC(I$64,L$64)</f>
        <v>4.0090000000000003</v>
      </c>
      <c r="M80" s="55">
        <f>J80*(1-YEARFRAC(J$64,M$64))+K80*YEARFRAC(J$64,M$64)</f>
        <v>8.109</v>
      </c>
      <c r="O80" s="145">
        <f>IFERROR((K80/E80)^(1/3)-1,0)</f>
        <v>-1</v>
      </c>
    </row>
  </sheetData>
  <mergeCells count="7">
    <mergeCell ref="L62:M62"/>
    <mergeCell ref="B37:I37"/>
    <mergeCell ref="C38:C39"/>
    <mergeCell ref="F38:H38"/>
    <mergeCell ref="E56:E57"/>
    <mergeCell ref="F56:F57"/>
    <mergeCell ref="I62:K62"/>
  </mergeCells>
  <pageMargins left="0.7" right="0.7" top="0.75" bottom="0.75" header="0.3" footer="0.3"/>
  <pageSetup paperSize="9" orientation="portrait" horizontalDpi="3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Drop Down 1">
              <controlPr defaultSize="0" autoLine="0" autoPict="0">
                <anchor moveWithCells="1">
                  <from>
                    <xdr:col>6</xdr:col>
                    <xdr:colOff>30480</xdr:colOff>
                    <xdr:row>19</xdr:row>
                    <xdr:rowOff>0</xdr:rowOff>
                  </from>
                  <to>
                    <xdr:col>7</xdr:col>
                    <xdr:colOff>144780</xdr:colOff>
                    <xdr:row>20</xdr:row>
                    <xdr:rowOff>7620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6"/>
  <sheetViews>
    <sheetView zoomScale="120" zoomScaleNormal="120" workbookViewId="0">
      <selection activeCell="E7" sqref="E7"/>
    </sheetView>
  </sheetViews>
  <sheetFormatPr defaultRowHeight="14.4" x14ac:dyDescent="0.3"/>
  <sheetData>
    <row r="2" spans="2:4" x14ac:dyDescent="0.3">
      <c r="C2" t="s">
        <v>208</v>
      </c>
      <c r="D2" t="s">
        <v>82</v>
      </c>
    </row>
    <row r="3" spans="2:4" x14ac:dyDescent="0.3">
      <c r="B3" t="s">
        <v>186</v>
      </c>
      <c r="C3">
        <f>ABBIndia!F18</f>
        <v>1911912.82656</v>
      </c>
      <c r="D3">
        <f>ABBIndia!F32</f>
        <v>1864520.32656</v>
      </c>
    </row>
    <row r="4" spans="2:4" x14ac:dyDescent="0.3">
      <c r="B4" t="s">
        <v>209</v>
      </c>
      <c r="C4">
        <f>CGPower!F18</f>
        <v>1053186.8347656</v>
      </c>
      <c r="D4">
        <f>CGPower!F32</f>
        <v>1039408.3489638072</v>
      </c>
    </row>
    <row r="5" spans="2:4" x14ac:dyDescent="0.3">
      <c r="B5" t="s">
        <v>197</v>
      </c>
      <c r="C5">
        <f>BHEL!F18</f>
        <v>1064292.6644557498</v>
      </c>
      <c r="D5">
        <f>BHEL!F32</f>
        <v>1092692.86445575</v>
      </c>
    </row>
    <row r="6" spans="2:4" x14ac:dyDescent="0.3">
      <c r="B6" t="s">
        <v>193</v>
      </c>
      <c r="C6">
        <f>Siemens!F18</f>
        <v>2774283.6225264999</v>
      </c>
      <c r="D6">
        <f>Siemens!F32</f>
        <v>2704097.0506624342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2"/>
  <sheetViews>
    <sheetView showGridLines="0" workbookViewId="0">
      <selection activeCell="D1" sqref="D1"/>
    </sheetView>
  </sheetViews>
  <sheetFormatPr defaultRowHeight="14.4" x14ac:dyDescent="0.3"/>
  <cols>
    <col min="2" max="2" width="33.77734375" customWidth="1"/>
    <col min="3" max="3" width="53.21875" bestFit="1" customWidth="1"/>
    <col min="4" max="4" width="42.5546875" customWidth="1"/>
    <col min="5" max="5" width="21" customWidth="1"/>
  </cols>
  <sheetData>
    <row r="2" spans="2:5" x14ac:dyDescent="0.3">
      <c r="B2" s="96" t="s">
        <v>95</v>
      </c>
      <c r="C2" s="96" t="s">
        <v>94</v>
      </c>
      <c r="D2" s="96" t="s">
        <v>92</v>
      </c>
      <c r="E2" s="96" t="s">
        <v>96</v>
      </c>
    </row>
    <row r="4" spans="2:5" x14ac:dyDescent="0.3">
      <c r="B4" s="101" t="s">
        <v>19</v>
      </c>
    </row>
    <row r="6" spans="2:5" x14ac:dyDescent="0.3">
      <c r="B6" s="97" t="s">
        <v>90</v>
      </c>
      <c r="C6" s="95" t="s">
        <v>91</v>
      </c>
      <c r="D6" s="95" t="s">
        <v>93</v>
      </c>
      <c r="E6" s="95"/>
    </row>
    <row r="7" spans="2:5" ht="14.25" customHeight="1" x14ac:dyDescent="0.3"/>
    <row r="8" spans="2:5" ht="43.2" x14ac:dyDescent="0.3">
      <c r="B8" s="100" t="s">
        <v>108</v>
      </c>
      <c r="C8" s="99" t="s">
        <v>110</v>
      </c>
      <c r="D8" s="99" t="s">
        <v>109</v>
      </c>
      <c r="E8" s="95"/>
    </row>
    <row r="9" spans="2:5" ht="14.25" customHeight="1" x14ac:dyDescent="0.3"/>
    <row r="10" spans="2:5" x14ac:dyDescent="0.3">
      <c r="B10" s="97" t="s">
        <v>15</v>
      </c>
      <c r="C10" s="95"/>
      <c r="D10" s="95"/>
      <c r="E10" s="95"/>
    </row>
    <row r="11" spans="2:5" ht="44.25" customHeight="1" x14ac:dyDescent="0.3">
      <c r="B11" s="98" t="s">
        <v>99</v>
      </c>
      <c r="C11" s="198" t="s">
        <v>97</v>
      </c>
      <c r="D11" s="201" t="s">
        <v>98</v>
      </c>
      <c r="E11" s="99" t="s">
        <v>117</v>
      </c>
    </row>
    <row r="12" spans="2:5" ht="26.25" customHeight="1" x14ac:dyDescent="0.3">
      <c r="B12" s="98" t="s">
        <v>100</v>
      </c>
      <c r="C12" s="199"/>
      <c r="D12" s="202"/>
      <c r="E12" s="99" t="s">
        <v>103</v>
      </c>
    </row>
    <row r="13" spans="2:5" ht="26.25" customHeight="1" x14ac:dyDescent="0.3">
      <c r="B13" s="98" t="s">
        <v>101</v>
      </c>
      <c r="C13" s="199"/>
      <c r="D13" s="202"/>
      <c r="E13" s="95" t="s">
        <v>104</v>
      </c>
    </row>
    <row r="14" spans="2:5" ht="26.25" customHeight="1" x14ac:dyDescent="0.3">
      <c r="B14" s="98" t="s">
        <v>102</v>
      </c>
      <c r="C14" s="200"/>
      <c r="D14" s="203"/>
      <c r="E14" s="95" t="s">
        <v>104</v>
      </c>
    </row>
    <row r="16" spans="2:5" x14ac:dyDescent="0.3">
      <c r="B16" s="97" t="s">
        <v>27</v>
      </c>
      <c r="C16" s="99" t="s">
        <v>111</v>
      </c>
      <c r="D16" s="95" t="s">
        <v>112</v>
      </c>
      <c r="E16" s="95"/>
    </row>
    <row r="18" spans="2:5" x14ac:dyDescent="0.3">
      <c r="B18" s="97" t="s">
        <v>105</v>
      </c>
      <c r="C18" s="99" t="s">
        <v>111</v>
      </c>
      <c r="D18" s="95" t="s">
        <v>112</v>
      </c>
      <c r="E18" s="95"/>
    </row>
    <row r="20" spans="2:5" x14ac:dyDescent="0.3">
      <c r="B20" s="97" t="s">
        <v>106</v>
      </c>
      <c r="C20" s="99" t="s">
        <v>111</v>
      </c>
      <c r="D20" s="95" t="s">
        <v>112</v>
      </c>
      <c r="E20" s="95"/>
    </row>
    <row r="22" spans="2:5" x14ac:dyDescent="0.3">
      <c r="B22" s="97" t="s">
        <v>107</v>
      </c>
      <c r="C22" s="99" t="s">
        <v>111</v>
      </c>
      <c r="D22" s="95" t="s">
        <v>112</v>
      </c>
      <c r="E22" s="95"/>
    </row>
    <row r="24" spans="2:5" x14ac:dyDescent="0.3">
      <c r="B24" s="97" t="s">
        <v>38</v>
      </c>
      <c r="C24" s="99" t="s">
        <v>111</v>
      </c>
      <c r="D24" s="95" t="s">
        <v>112</v>
      </c>
      <c r="E24" s="95"/>
    </row>
    <row r="26" spans="2:5" ht="57.6" x14ac:dyDescent="0.3">
      <c r="B26" s="100" t="s">
        <v>35</v>
      </c>
      <c r="C26" s="102" t="s">
        <v>113</v>
      </c>
      <c r="D26" s="99" t="s">
        <v>114</v>
      </c>
      <c r="E26" s="103" t="s">
        <v>115</v>
      </c>
    </row>
    <row r="28" spans="2:5" x14ac:dyDescent="0.3">
      <c r="B28" s="101" t="s">
        <v>40</v>
      </c>
    </row>
    <row r="30" spans="2:5" ht="100.8" x14ac:dyDescent="0.3">
      <c r="B30" s="100" t="s">
        <v>121</v>
      </c>
      <c r="C30" s="99" t="s">
        <v>122</v>
      </c>
      <c r="D30" s="99" t="s">
        <v>123</v>
      </c>
      <c r="E30" s="95"/>
    </row>
    <row r="32" spans="2:5" ht="28.8" x14ac:dyDescent="0.3">
      <c r="B32" s="100" t="s">
        <v>124</v>
      </c>
      <c r="C32" s="99" t="s">
        <v>122</v>
      </c>
      <c r="D32" s="99" t="s">
        <v>125</v>
      </c>
      <c r="E32" s="95"/>
    </row>
    <row r="34" spans="2:9" ht="136.05000000000001" customHeight="1" x14ac:dyDescent="0.3">
      <c r="B34" s="100" t="s">
        <v>126</v>
      </c>
      <c r="C34" s="99" t="s">
        <v>127</v>
      </c>
      <c r="D34" s="99" t="s">
        <v>125</v>
      </c>
      <c r="E34" s="95" t="s">
        <v>128</v>
      </c>
      <c r="F34" t="s">
        <v>142</v>
      </c>
      <c r="I34" t="s">
        <v>143</v>
      </c>
    </row>
    <row r="36" spans="2:9" ht="28.8" x14ac:dyDescent="0.3">
      <c r="B36" s="100" t="s">
        <v>129</v>
      </c>
      <c r="C36" s="99" t="s">
        <v>130</v>
      </c>
      <c r="D36" s="99" t="s">
        <v>125</v>
      </c>
      <c r="E36" s="95"/>
    </row>
    <row r="38" spans="2:9" ht="28.8" x14ac:dyDescent="0.3">
      <c r="B38" s="110" t="s">
        <v>131</v>
      </c>
      <c r="C38" s="99" t="s">
        <v>122</v>
      </c>
      <c r="D38" s="99" t="s">
        <v>125</v>
      </c>
      <c r="E38" s="95"/>
    </row>
    <row r="40" spans="2:9" ht="28.8" x14ac:dyDescent="0.3">
      <c r="B40" s="110" t="s">
        <v>132</v>
      </c>
      <c r="C40" s="99" t="s">
        <v>133</v>
      </c>
      <c r="D40" s="99" t="s">
        <v>125</v>
      </c>
      <c r="E40" s="95"/>
    </row>
    <row r="42" spans="2:9" ht="43.2" x14ac:dyDescent="0.3">
      <c r="B42" s="110" t="s">
        <v>134</v>
      </c>
      <c r="C42" s="111" t="s">
        <v>135</v>
      </c>
      <c r="D42" s="99"/>
      <c r="E42" s="95"/>
    </row>
  </sheetData>
  <mergeCells count="2">
    <mergeCell ref="C11:C14"/>
    <mergeCell ref="D11:D14"/>
  </mergeCells>
  <pageMargins left="0.7" right="0.7" top="0.75" bottom="0.75" header="0.3" footer="0.3"/>
  <pageSetup paperSize="9" orientation="portrait" horizont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C23"/>
  <sheetViews>
    <sheetView workbookViewId="0">
      <selection activeCell="B11" sqref="B11"/>
    </sheetView>
  </sheetViews>
  <sheetFormatPr defaultRowHeight="14.4" x14ac:dyDescent="0.3"/>
  <cols>
    <col min="2" max="2" width="40.33203125" bestFit="1" customWidth="1"/>
  </cols>
  <sheetData>
    <row r="2" spans="1:3" x14ac:dyDescent="0.3">
      <c r="B2" t="s">
        <v>171</v>
      </c>
    </row>
    <row r="3" spans="1:3" x14ac:dyDescent="0.3">
      <c r="B3" t="s">
        <v>172</v>
      </c>
    </row>
    <row r="4" spans="1:3" x14ac:dyDescent="0.3">
      <c r="B4" t="s">
        <v>173</v>
      </c>
    </row>
    <row r="6" spans="1:3" x14ac:dyDescent="0.3">
      <c r="A6">
        <v>1</v>
      </c>
      <c r="B6" t="s">
        <v>174</v>
      </c>
      <c r="C6" t="s">
        <v>182</v>
      </c>
    </row>
    <row r="7" spans="1:3" x14ac:dyDescent="0.3">
      <c r="A7">
        <v>2</v>
      </c>
      <c r="B7" s="150" t="s">
        <v>175</v>
      </c>
    </row>
    <row r="8" spans="1:3" x14ac:dyDescent="0.3">
      <c r="A8">
        <v>3</v>
      </c>
      <c r="B8" s="150" t="s">
        <v>176</v>
      </c>
    </row>
    <row r="9" spans="1:3" x14ac:dyDescent="0.3">
      <c r="A9">
        <v>4</v>
      </c>
      <c r="B9" t="s">
        <v>177</v>
      </c>
      <c r="C9" t="s">
        <v>182</v>
      </c>
    </row>
    <row r="10" spans="1:3" x14ac:dyDescent="0.3">
      <c r="A10">
        <v>5</v>
      </c>
      <c r="B10" t="s">
        <v>178</v>
      </c>
      <c r="C10" t="s">
        <v>182</v>
      </c>
    </row>
    <row r="11" spans="1:3" x14ac:dyDescent="0.3">
      <c r="A11">
        <v>6</v>
      </c>
      <c r="B11" t="s">
        <v>179</v>
      </c>
      <c r="C11" t="s">
        <v>182</v>
      </c>
    </row>
    <row r="12" spans="1:3" x14ac:dyDescent="0.3">
      <c r="A12">
        <v>7</v>
      </c>
      <c r="B12" s="150" t="s">
        <v>180</v>
      </c>
    </row>
    <row r="13" spans="1:3" x14ac:dyDescent="0.3">
      <c r="A13">
        <v>8</v>
      </c>
      <c r="B13" s="150" t="s">
        <v>181</v>
      </c>
    </row>
    <row r="16" spans="1:3" x14ac:dyDescent="0.3">
      <c r="B16" s="146" t="s">
        <v>183</v>
      </c>
    </row>
    <row r="17" spans="1:2" x14ac:dyDescent="0.3">
      <c r="A17">
        <v>1</v>
      </c>
      <c r="B17" s="150" t="s">
        <v>175</v>
      </c>
    </row>
    <row r="18" spans="1:2" x14ac:dyDescent="0.3">
      <c r="A18">
        <v>2</v>
      </c>
      <c r="B18" s="150" t="s">
        <v>176</v>
      </c>
    </row>
    <row r="19" spans="1:2" x14ac:dyDescent="0.3">
      <c r="A19">
        <v>3</v>
      </c>
      <c r="B19" s="150" t="s">
        <v>180</v>
      </c>
    </row>
    <row r="20" spans="1:2" x14ac:dyDescent="0.3">
      <c r="A20">
        <v>4</v>
      </c>
      <c r="B20" s="150" t="s">
        <v>181</v>
      </c>
    </row>
    <row r="23" spans="1:2" x14ac:dyDescent="0.3">
      <c r="B23" s="15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Valuation</vt:lpstr>
      <vt:lpstr>Output</vt:lpstr>
      <vt:lpstr>Input</vt:lpstr>
      <vt:lpstr>ABBIndia</vt:lpstr>
      <vt:lpstr>Siemens</vt:lpstr>
      <vt:lpstr>CGPower</vt:lpstr>
      <vt:lpstr>BHEL</vt:lpstr>
      <vt:lpstr>Sheet1</vt:lpstr>
      <vt:lpstr>Source of Info</vt:lpstr>
      <vt:lpstr>List of Peers</vt:lpstr>
      <vt:lpstr>ml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Goel</dc:creator>
  <cp:lastModifiedBy>lenovo</cp:lastModifiedBy>
  <cp:lastPrinted>2024-06-19T07:56:18Z</cp:lastPrinted>
  <dcterms:created xsi:type="dcterms:W3CDTF">2020-01-08T08:29:55Z</dcterms:created>
  <dcterms:modified xsi:type="dcterms:W3CDTF">2024-06-21T10:19:12Z</dcterms:modified>
</cp:coreProperties>
</file>